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920FA3F6-1FD0-4D3B-ADFF-926B4081F6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atation fomat Bedding" sheetId="5" r:id="rId1"/>
    <sheet name="Data entry for Bedding" sheetId="4" r:id="rId2"/>
    <sheet name="Quatation fomat horti" sheetId="2" r:id="rId3"/>
    <sheet name="Data entry for Horti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4" l="1"/>
  <c r="P12" i="4" s="1"/>
  <c r="R12" i="4" s="1"/>
  <c r="N12" i="4"/>
  <c r="Q12" i="4" s="1"/>
  <c r="S12" i="4" s="1"/>
  <c r="B20" i="5"/>
  <c r="V12" i="4"/>
  <c r="B22" i="2"/>
  <c r="V11" i="1"/>
  <c r="R11" i="1"/>
  <c r="O11" i="1"/>
  <c r="P11" i="1" s="1"/>
  <c r="N11" i="1"/>
  <c r="Q11" i="1" s="1"/>
  <c r="T12" i="4" l="1"/>
  <c r="U12" i="4"/>
  <c r="T11" i="1"/>
  <c r="U11" i="1"/>
  <c r="S11" i="1"/>
</calcChain>
</file>

<file path=xl/sharedStrings.xml><?xml version="1.0" encoding="utf-8"?>
<sst xmlns="http://schemas.openxmlformats.org/spreadsheetml/2006/main" count="268" uniqueCount="138">
  <si>
    <t>HAYFIBRE OPERATIONS - PRODUCT COSTING SHEET</t>
  </si>
  <si>
    <t>Cost Request No:</t>
  </si>
  <si>
    <t>2627-C-H-0005</t>
  </si>
  <si>
    <t>Request Date:</t>
  </si>
  <si>
    <t>9/8/2026</t>
  </si>
  <si>
    <t>Customer Name:</t>
  </si>
  <si>
    <t>RIMAL LLC</t>
  </si>
  <si>
    <t>Completion Date:</t>
  </si>
  <si>
    <t>9/14/2026</t>
  </si>
  <si>
    <t>Product Category:</t>
  </si>
  <si>
    <t>Horticulture</t>
  </si>
  <si>
    <t>Status:</t>
  </si>
  <si>
    <t>Costing Completed</t>
  </si>
  <si>
    <t>Marketing Officer:</t>
  </si>
  <si>
    <t>Devni Perera</t>
  </si>
  <si>
    <t>Finance Officer:</t>
  </si>
  <si>
    <t>Dilini Anuradhi</t>
  </si>
  <si>
    <t>Item #</t>
  </si>
  <si>
    <t>Product Description (Mkt)</t>
  </si>
  <si>
    <t>Product Specifications (Mkt)</t>
  </si>
  <si>
    <t>GSM (Mkt)</t>
  </si>
  <si>
    <t>Latex Ratio (Mkt)</t>
  </si>
  <si>
    <t>Packing - Pieces per Carton or Bundle (Fin)</t>
  </si>
  <si>
    <t>Carton Size (CM) (Fin)</t>
  </si>
  <si>
    <t>Unit Cost (Fin)</t>
  </si>
  <si>
    <t>FHN0954</t>
  </si>
  <si>
    <t>30 CM | ROUND WEED DISC | WITH SAME LABEL AND PACKING REQUIREMENTS AS PREVIOUS ORDER</t>
  </si>
  <si>
    <t>80:20</t>
  </si>
  <si>
    <t xml:space="preserve">              128</t>
  </si>
  <si>
    <t xml:space="preserve"> 57X51X58CM </t>
  </si>
  <si>
    <t>$26.73</t>
  </si>
  <si>
    <t>Pallet size</t>
  </si>
  <si>
    <t>Cartons per pallet</t>
  </si>
  <si>
    <t>Pallet size-Optional extract if filled</t>
  </si>
  <si>
    <t>Roll diameter-Optional extract if filled</t>
  </si>
  <si>
    <t>Cartons per 20ft</t>
  </si>
  <si>
    <t>Cartons per 40ft</t>
  </si>
  <si>
    <t>Qty per 40ft</t>
  </si>
  <si>
    <t>Qty per 20ft</t>
  </si>
  <si>
    <t>Ex work price</t>
  </si>
  <si>
    <t>Export expence</t>
  </si>
  <si>
    <t>Exhange rate</t>
  </si>
  <si>
    <t>Margin</t>
  </si>
  <si>
    <t>CIF rate</t>
  </si>
  <si>
    <t>20 ft price</t>
  </si>
  <si>
    <t xml:space="preserve">40ft price </t>
  </si>
  <si>
    <t>FOB</t>
  </si>
  <si>
    <t>EX works</t>
  </si>
  <si>
    <t>CIF</t>
  </si>
  <si>
    <t>FOB with separate CIF</t>
  </si>
  <si>
    <t>FOB price-If Fob is ticked with 40ft price</t>
  </si>
  <si>
    <t>CIF price for 40ft price</t>
  </si>
  <si>
    <t>CIF price for 20ft price</t>
  </si>
  <si>
    <t>Vat</t>
  </si>
  <si>
    <t>FOB price-If Fob is ticked with 20ft price</t>
  </si>
  <si>
    <t>Cartons/Bundles per 20ft</t>
  </si>
  <si>
    <t>Cartons/bundles per 40ft</t>
  </si>
  <si>
    <t>Manual entry</t>
  </si>
  <si>
    <t>Pick to quotation</t>
  </si>
  <si>
    <t>Put drop down list to images</t>
  </si>
  <si>
    <t>No need to quotation</t>
  </si>
  <si>
    <t>In a situation of no cartons and if bundle pack floor loaded</t>
  </si>
  <si>
    <t>No required</t>
  </si>
  <si>
    <t>No of pallets per 40ft</t>
  </si>
  <si>
    <t>No of pallets per 20ft</t>
  </si>
  <si>
    <t>Auto cal =(L x I x F)</t>
  </si>
  <si>
    <t>Auto cal =(M x I x F)</t>
  </si>
  <si>
    <t>Auto cal (O X F)</t>
  </si>
  <si>
    <t>Auto cal (N X F)</t>
  </si>
  <si>
    <t>Cartons/Bundles per pallet-Optional extract if filled</t>
  </si>
  <si>
    <t>In a situation of cartons or bundles with pallet loading</t>
  </si>
  <si>
    <t>In a situation of Roll form loading</t>
  </si>
  <si>
    <t>SAME</t>
  </si>
  <si>
    <t>TBC</t>
  </si>
  <si>
    <t>TBA</t>
  </si>
  <si>
    <t>Pick to quotation( HAVE OPTION TO HIDE OR INCLUDE THESE COLUMNS)</t>
  </si>
  <si>
    <t>New additions to Price quotation document -Backend</t>
  </si>
  <si>
    <t>Price Quotation</t>
  </si>
  <si>
    <t xml:space="preserve">Quotation ref number </t>
  </si>
  <si>
    <t>XXXXX</t>
  </si>
  <si>
    <t xml:space="preserve">Date  </t>
  </si>
  <si>
    <t>Quotation date -Auto pick</t>
  </si>
  <si>
    <t>Shipper :</t>
  </si>
  <si>
    <t>Toyo Cushion Lanka                                                                                                                                         COMPANY   NO : PV 5492                                                                                                                                     400 Deans Road Colombo 10 01000 Sri Lanka 94112232939-Fixed</t>
  </si>
  <si>
    <t>Buyer   :</t>
  </si>
  <si>
    <t>Auto Pick the Buyer name from cost sheet,and have Edit option as well</t>
  </si>
  <si>
    <t>Image</t>
  </si>
  <si>
    <t>Product spec</t>
  </si>
  <si>
    <t xml:space="preserve">Packing /Pcs </t>
  </si>
  <si>
    <t>Pallets per 40ft</t>
  </si>
  <si>
    <t>Pallets per 20ft</t>
  </si>
  <si>
    <t>Carton Size CM</t>
  </si>
  <si>
    <t>Price FOB /cif/Ex works</t>
  </si>
  <si>
    <t>Bundles per 20ft</t>
  </si>
  <si>
    <t>Bundles per 40ft</t>
  </si>
  <si>
    <t>Images common ( select as per product spec) drop down images</t>
  </si>
  <si>
    <t>As per cost request data</t>
  </si>
  <si>
    <t>AS per cost req</t>
  </si>
  <si>
    <t>per carton or pallet or Bundle</t>
  </si>
  <si>
    <t xml:space="preserve">If applicable in cost sheet </t>
  </si>
  <si>
    <t>Marketing to fill</t>
  </si>
  <si>
    <t>100 X 100 X 50( As per cost req)</t>
  </si>
  <si>
    <t>As per the inserted parameters-Auto cal</t>
  </si>
  <si>
    <t>Auto pick</t>
  </si>
  <si>
    <t>Note</t>
  </si>
  <si>
    <t xml:space="preserve">Packing   </t>
  </si>
  <si>
    <t>Carton Boxes/Floor load/Pallet-Edit option</t>
  </si>
  <si>
    <t xml:space="preserve">Price term </t>
  </si>
  <si>
    <t xml:space="preserve">FOB/CIF /EX works as per preference auto pick </t>
  </si>
  <si>
    <t xml:space="preserve">Payment terms  </t>
  </si>
  <si>
    <t>100% Advance ( For the first order delivery)  ( give edit option)</t>
  </si>
  <si>
    <t xml:space="preserve">Validity </t>
  </si>
  <si>
    <t>Till 31st Aug 2026 ( set 1 moths from quotation date</t>
  </si>
  <si>
    <t xml:space="preserve">Utilization Lead time </t>
  </si>
  <si>
    <t>+/- 10% 4-5 weeks</t>
  </si>
  <si>
    <t>………………………….</t>
  </si>
  <si>
    <t>Manager - Sales &amp; Marketing</t>
  </si>
  <si>
    <t>Fomula included</t>
  </si>
  <si>
    <t>Description</t>
  </si>
  <si>
    <t>L (CM)</t>
  </si>
  <si>
    <t>W (CM)</t>
  </si>
  <si>
    <t>H (CM)</t>
  </si>
  <si>
    <t>Organic/Non Org</t>
  </si>
  <si>
    <t>NC/RC Ratio</t>
  </si>
  <si>
    <t>Density</t>
  </si>
  <si>
    <t>Qty/BUNDLE</t>
  </si>
  <si>
    <t>X</t>
  </si>
  <si>
    <t>Y</t>
  </si>
  <si>
    <t>Z</t>
  </si>
  <si>
    <t xml:space="preserve">Bundles per pallet-Optional </t>
  </si>
  <si>
    <t>In a situation of  bundles with pallet loading</t>
  </si>
  <si>
    <t>Auto cal =(L x J x H)</t>
  </si>
  <si>
    <t>Auto cal =(M x J x H)</t>
  </si>
  <si>
    <t>Qty per BUNDLE</t>
  </si>
  <si>
    <t>Floor load/Pallet-Edit option</t>
  </si>
  <si>
    <t>Maketing entry</t>
  </si>
  <si>
    <t>Bundles per pallet</t>
  </si>
  <si>
    <t>Pick to quotation from cost sheet ( HAVE OPTION TO HIDE OR INCLUDE THESE COLUMNS)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</si>
</sst>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,\ mmmm\ yyyy;@"/>
    <numFmt numFmtId="165" formatCode="_-* #,##0.00_-;\-* #,##0.00_-;_-* &quot;-&quot;??_-;_-@_-"/>
    <numFmt numFmtId="166" formatCode="_-* #,##0_-;\-* #,##0_-;_-* &quot;-&quot;??_-;_-@_-"/>
  </numFmts>
  <fonts count="15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9.5"/>
      <color rgb="FF334155"/>
      <name val="Arial"/>
      <family val="2"/>
    </font>
    <font>
      <b/>
      <sz val="9.5"/>
      <color rgb="FF4F46E5"/>
      <name val="Arial"/>
      <family val="2"/>
    </font>
    <font>
      <sz val="9.5"/>
      <color rgb="FF0F172A"/>
      <name val="Arial"/>
      <family val="2"/>
    </font>
    <font>
      <b/>
      <sz val="10"/>
      <color rgb="FFFFFFFF"/>
      <name val="Arial"/>
      <family val="2"/>
    </font>
    <font>
      <sz val="9.5"/>
      <name val="Arial"/>
      <family val="2"/>
    </font>
    <font>
      <sz val="11"/>
      <color theme="1"/>
      <name val="Calibri"/>
      <family val="2"/>
      <scheme val="minor"/>
    </font>
    <font>
      <sz val="9.5"/>
      <color rgb="FF334155"/>
      <name val="Arial"/>
      <family val="2"/>
    </font>
    <font>
      <sz val="10"/>
      <name val="Arial"/>
      <family val="2"/>
    </font>
    <font>
      <sz val="14"/>
      <name val="Calibri"/>
      <family val="2"/>
      <scheme val="minor"/>
    </font>
    <font>
      <b/>
      <sz val="2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0284C7"/>
      </patternFill>
    </fill>
    <fill>
      <patternFill patternType="solid">
        <fgColor rgb="FFF8FAF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0369A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/>
      <top/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indexed="64"/>
      </left>
      <right/>
      <top/>
      <bottom/>
      <diagonal/>
    </border>
    <border>
      <left style="thin">
        <color rgb="FFE2E8F0"/>
      </left>
      <right/>
      <top style="thin">
        <color rgb="FFE2E8F0"/>
      </top>
      <bottom style="medium">
        <color rgb="FF0369A1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</cellStyleXfs>
  <cellXfs count="1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7" borderId="3" xfId="0" applyFill="1" applyBorder="1"/>
    <xf numFmtId="0" fontId="0" fillId="7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7" borderId="3" xfId="1" applyFont="1" applyFill="1" applyBorder="1"/>
    <xf numFmtId="0" fontId="0" fillId="7" borderId="0" xfId="0" applyFill="1"/>
    <xf numFmtId="9" fontId="0" fillId="7" borderId="0" xfId="0" applyNumberFormat="1" applyFill="1"/>
    <xf numFmtId="0" fontId="8" fillId="6" borderId="6" xfId="0" applyFont="1" applyFill="1" applyBorder="1" applyAlignment="1">
      <alignment wrapText="1"/>
    </xf>
    <xf numFmtId="0" fontId="4" fillId="8" borderId="6" xfId="0" applyFont="1" applyFill="1" applyBorder="1"/>
    <xf numFmtId="0" fontId="6" fillId="0" borderId="0" xfId="0" applyFont="1" applyAlignment="1">
      <alignment horizontal="right" vertical="center"/>
    </xf>
    <xf numFmtId="0" fontId="6" fillId="5" borderId="5" xfId="0" applyFont="1" applyFill="1" applyBorder="1" applyAlignment="1">
      <alignment horizontal="right" vertical="center"/>
    </xf>
    <xf numFmtId="0" fontId="8" fillId="6" borderId="6" xfId="0" applyFont="1" applyFill="1" applyBorder="1" applyAlignment="1">
      <alignment horizontal="center"/>
    </xf>
    <xf numFmtId="0" fontId="0" fillId="9" borderId="3" xfId="0" applyFill="1" applyBorder="1" applyAlignment="1">
      <alignment vertical="center" wrapText="1"/>
    </xf>
    <xf numFmtId="0" fontId="4" fillId="8" borderId="5" xfId="0" applyFont="1" applyFill="1" applyBorder="1"/>
    <xf numFmtId="0" fontId="5" fillId="4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1" fontId="0" fillId="0" borderId="12" xfId="0" applyNumberFormat="1" applyBorder="1" applyAlignment="1">
      <alignment vertical="center" wrapText="1"/>
    </xf>
    <xf numFmtId="1" fontId="0" fillId="0" borderId="12" xfId="0" applyNumberFormat="1" applyBorder="1"/>
    <xf numFmtId="0" fontId="0" fillId="0" borderId="12" xfId="0" applyBorder="1"/>
    <xf numFmtId="0" fontId="10" fillId="10" borderId="0" xfId="2" applyFont="1" applyFill="1"/>
    <xf numFmtId="0" fontId="10" fillId="0" borderId="0" xfId="2" applyFont="1"/>
    <xf numFmtId="0" fontId="10" fillId="10" borderId="16" xfId="2" applyFont="1" applyFill="1" applyBorder="1"/>
    <xf numFmtId="0" fontId="10" fillId="10" borderId="17" xfId="2" applyFont="1" applyFill="1" applyBorder="1"/>
    <xf numFmtId="0" fontId="10" fillId="10" borderId="9" xfId="2" applyFont="1" applyFill="1" applyBorder="1"/>
    <xf numFmtId="0" fontId="10" fillId="10" borderId="18" xfId="2" applyFont="1" applyFill="1" applyBorder="1"/>
    <xf numFmtId="0" fontId="10" fillId="10" borderId="19" xfId="2" applyFont="1" applyFill="1" applyBorder="1"/>
    <xf numFmtId="0" fontId="10" fillId="10" borderId="20" xfId="2" applyFont="1" applyFill="1" applyBorder="1"/>
    <xf numFmtId="166" fontId="13" fillId="10" borderId="3" xfId="3" applyNumberFormat="1" applyFont="1" applyFill="1" applyBorder="1" applyAlignment="1">
      <alignment wrapText="1"/>
    </xf>
    <xf numFmtId="0" fontId="13" fillId="11" borderId="24" xfId="2" applyFont="1" applyFill="1" applyBorder="1" applyAlignment="1">
      <alignment horizontal="center" wrapText="1"/>
    </xf>
    <xf numFmtId="0" fontId="13" fillId="10" borderId="3" xfId="2" applyFont="1" applyFill="1" applyBorder="1" applyAlignment="1">
      <alignment wrapText="1"/>
    </xf>
    <xf numFmtId="0" fontId="10" fillId="0" borderId="3" xfId="2" applyFont="1" applyBorder="1" applyAlignment="1">
      <alignment wrapText="1"/>
    </xf>
    <xf numFmtId="165" fontId="13" fillId="10" borderId="21" xfId="3" applyFont="1" applyFill="1" applyBorder="1" applyAlignment="1">
      <alignment horizontal="center" wrapText="1"/>
    </xf>
    <xf numFmtId="165" fontId="13" fillId="10" borderId="3" xfId="3" applyFont="1" applyFill="1" applyBorder="1" applyAlignment="1">
      <alignment horizontal="center" wrapText="1"/>
    </xf>
    <xf numFmtId="0" fontId="12" fillId="10" borderId="16" xfId="2" applyFont="1" applyFill="1" applyBorder="1"/>
    <xf numFmtId="0" fontId="13" fillId="10" borderId="21" xfId="2" applyFont="1" applyFill="1" applyBorder="1"/>
    <xf numFmtId="0" fontId="13" fillId="10" borderId="17" xfId="2" applyFont="1" applyFill="1" applyBorder="1"/>
    <xf numFmtId="0" fontId="13" fillId="10" borderId="9" xfId="2" applyFont="1" applyFill="1" applyBorder="1"/>
    <xf numFmtId="0" fontId="13" fillId="10" borderId="0" xfId="2" applyFont="1" applyFill="1"/>
    <xf numFmtId="0" fontId="13" fillId="10" borderId="18" xfId="2" applyFont="1" applyFill="1" applyBorder="1"/>
    <xf numFmtId="0" fontId="14" fillId="10" borderId="9" xfId="2" applyFont="1" applyFill="1" applyBorder="1"/>
    <xf numFmtId="0" fontId="13" fillId="10" borderId="19" xfId="2" applyFont="1" applyFill="1" applyBorder="1"/>
    <xf numFmtId="0" fontId="13" fillId="10" borderId="22" xfId="2" applyFont="1" applyFill="1" applyBorder="1"/>
    <xf numFmtId="0" fontId="13" fillId="10" borderId="20" xfId="2" applyFont="1" applyFill="1" applyBorder="1"/>
    <xf numFmtId="0" fontId="10" fillId="10" borderId="21" xfId="2" applyFont="1" applyFill="1" applyBorder="1"/>
    <xf numFmtId="0" fontId="10" fillId="10" borderId="22" xfId="2" applyFont="1" applyFill="1" applyBorder="1"/>
    <xf numFmtId="0" fontId="1" fillId="0" borderId="0" xfId="0" applyFont="1" applyAlignment="1">
      <alignment horizontal="center" vertical="center"/>
    </xf>
    <xf numFmtId="0" fontId="12" fillId="10" borderId="23" xfId="2" applyFont="1" applyFill="1" applyBorder="1" applyAlignment="1">
      <alignment vertical="center" wrapText="1"/>
    </xf>
    <xf numFmtId="0" fontId="12" fillId="13" borderId="23" xfId="2" applyFont="1" applyFill="1" applyBorder="1" applyAlignment="1">
      <alignment vertical="center" wrapText="1"/>
    </xf>
    <xf numFmtId="0" fontId="10" fillId="10" borderId="21" xfId="2" applyFont="1" applyFill="1" applyBorder="1" applyAlignment="1">
      <alignment horizontal="center"/>
    </xf>
    <xf numFmtId="0" fontId="10" fillId="10" borderId="17" xfId="2" applyFont="1" applyFill="1" applyBorder="1" applyAlignment="1">
      <alignment horizontal="center"/>
    </xf>
    <xf numFmtId="0" fontId="10" fillId="10" borderId="0" xfId="2" applyFont="1" applyFill="1" applyAlignment="1">
      <alignment horizontal="center"/>
    </xf>
    <xf numFmtId="0" fontId="10" fillId="10" borderId="18" xfId="2" applyFont="1" applyFill="1" applyBorder="1" applyAlignment="1">
      <alignment horizontal="center"/>
    </xf>
    <xf numFmtId="0" fontId="10" fillId="10" borderId="22" xfId="2" applyFont="1" applyFill="1" applyBorder="1" applyAlignment="1">
      <alignment horizontal="center"/>
    </xf>
    <xf numFmtId="0" fontId="10" fillId="10" borderId="20" xfId="2" applyFont="1" applyFill="1" applyBorder="1" applyAlignment="1">
      <alignment horizontal="center"/>
    </xf>
    <xf numFmtId="0" fontId="12" fillId="10" borderId="13" xfId="2" applyFont="1" applyFill="1" applyBorder="1" applyAlignment="1">
      <alignment horizontal="center" wrapText="1"/>
    </xf>
    <xf numFmtId="0" fontId="12" fillId="10" borderId="15" xfId="2" applyFont="1" applyFill="1" applyBorder="1" applyAlignment="1">
      <alignment horizontal="center" wrapText="1"/>
    </xf>
    <xf numFmtId="0" fontId="13" fillId="10" borderId="3" xfId="2" applyFont="1" applyFill="1" applyBorder="1" applyAlignment="1">
      <alignment horizontal="center"/>
    </xf>
    <xf numFmtId="0" fontId="13" fillId="10" borderId="3" xfId="2" applyFont="1" applyFill="1" applyBorder="1" applyAlignment="1">
      <alignment horizontal="center" wrapText="1"/>
    </xf>
    <xf numFmtId="0" fontId="12" fillId="10" borderId="16" xfId="2" applyFont="1" applyFill="1" applyBorder="1" applyAlignment="1">
      <alignment horizontal="center" vertical="center" wrapText="1"/>
    </xf>
    <xf numFmtId="0" fontId="12" fillId="10" borderId="9" xfId="2" applyFont="1" applyFill="1" applyBorder="1" applyAlignment="1">
      <alignment horizontal="center" vertical="center" wrapText="1"/>
    </xf>
    <xf numFmtId="0" fontId="12" fillId="10" borderId="19" xfId="2" applyFont="1" applyFill="1" applyBorder="1" applyAlignment="1">
      <alignment horizontal="center" vertical="center" wrapText="1"/>
    </xf>
    <xf numFmtId="0" fontId="12" fillId="10" borderId="23" xfId="2" applyFont="1" applyFill="1" applyBorder="1" applyAlignment="1">
      <alignment horizontal="center" vertical="center" wrapText="1"/>
    </xf>
    <xf numFmtId="0" fontId="12" fillId="10" borderId="24" xfId="2" applyFont="1" applyFill="1" applyBorder="1" applyAlignment="1">
      <alignment horizontal="center" vertical="center" wrapText="1"/>
    </xf>
    <xf numFmtId="0" fontId="12" fillId="10" borderId="12" xfId="2" applyFont="1" applyFill="1" applyBorder="1" applyAlignment="1">
      <alignment horizontal="center" vertical="center" wrapText="1"/>
    </xf>
    <xf numFmtId="0" fontId="12" fillId="10" borderId="3" xfId="2" applyFont="1" applyFill="1" applyBorder="1" applyAlignment="1">
      <alignment horizontal="center" vertical="center"/>
    </xf>
    <xf numFmtId="0" fontId="12" fillId="10" borderId="16" xfId="2" applyFont="1" applyFill="1" applyBorder="1" applyAlignment="1">
      <alignment horizontal="center" vertical="center"/>
    </xf>
    <xf numFmtId="0" fontId="12" fillId="10" borderId="17" xfId="2" applyFont="1" applyFill="1" applyBorder="1" applyAlignment="1">
      <alignment horizontal="center" vertical="center"/>
    </xf>
    <xf numFmtId="0" fontId="12" fillId="10" borderId="9" xfId="2" applyFont="1" applyFill="1" applyBorder="1" applyAlignment="1">
      <alignment horizontal="center" vertical="center"/>
    </xf>
    <xf numFmtId="0" fontId="12" fillId="10" borderId="18" xfId="2" applyFont="1" applyFill="1" applyBorder="1" applyAlignment="1">
      <alignment horizontal="center" vertical="center"/>
    </xf>
    <xf numFmtId="0" fontId="12" fillId="10" borderId="19" xfId="2" applyFont="1" applyFill="1" applyBorder="1" applyAlignment="1">
      <alignment horizontal="center" vertical="center"/>
    </xf>
    <xf numFmtId="0" fontId="12" fillId="10" borderId="20" xfId="2" applyFont="1" applyFill="1" applyBorder="1" applyAlignment="1">
      <alignment horizontal="center" vertical="center"/>
    </xf>
    <xf numFmtId="0" fontId="12" fillId="10" borderId="21" xfId="2" applyFont="1" applyFill="1" applyBorder="1" applyAlignment="1">
      <alignment horizontal="center" vertical="center"/>
    </xf>
    <xf numFmtId="0" fontId="12" fillId="10" borderId="0" xfId="2" applyFont="1" applyFill="1" applyAlignment="1">
      <alignment horizontal="center" vertical="center"/>
    </xf>
    <xf numFmtId="0" fontId="12" fillId="10" borderId="22" xfId="2" applyFont="1" applyFill="1" applyBorder="1" applyAlignment="1">
      <alignment horizontal="center" vertical="center"/>
    </xf>
    <xf numFmtId="0" fontId="12" fillId="10" borderId="21" xfId="2" applyFont="1" applyFill="1" applyBorder="1" applyAlignment="1">
      <alignment horizontal="center" vertical="center" wrapText="1"/>
    </xf>
    <xf numFmtId="0" fontId="12" fillId="10" borderId="17" xfId="2" applyFont="1" applyFill="1" applyBorder="1" applyAlignment="1">
      <alignment horizontal="center" vertical="center" wrapText="1"/>
    </xf>
    <xf numFmtId="0" fontId="12" fillId="10" borderId="0" xfId="2" applyFont="1" applyFill="1" applyAlignment="1">
      <alignment horizontal="center" vertical="center" wrapText="1"/>
    </xf>
    <xf numFmtId="0" fontId="12" fillId="10" borderId="18" xfId="2" applyFont="1" applyFill="1" applyBorder="1" applyAlignment="1">
      <alignment horizontal="center" vertical="center" wrapText="1"/>
    </xf>
    <xf numFmtId="0" fontId="12" fillId="10" borderId="22" xfId="2" applyFont="1" applyFill="1" applyBorder="1" applyAlignment="1">
      <alignment horizontal="center" vertical="center" wrapText="1"/>
    </xf>
    <xf numFmtId="0" fontId="12" fillId="10" borderId="20" xfId="2" applyFont="1" applyFill="1" applyBorder="1" applyAlignment="1">
      <alignment horizontal="center" vertical="center" wrapText="1"/>
    </xf>
    <xf numFmtId="0" fontId="11" fillId="10" borderId="3" xfId="2" applyFont="1" applyFill="1" applyBorder="1" applyAlignment="1">
      <alignment horizontal="center" vertical="center"/>
    </xf>
    <xf numFmtId="0" fontId="12" fillId="10" borderId="3" xfId="2" applyFont="1" applyFill="1" applyBorder="1" applyAlignment="1">
      <alignment horizontal="center" wrapText="1"/>
    </xf>
    <xf numFmtId="0" fontId="12" fillId="10" borderId="3" xfId="2" applyFont="1" applyFill="1" applyBorder="1" applyAlignment="1">
      <alignment horizontal="center"/>
    </xf>
    <xf numFmtId="164" fontId="13" fillId="6" borderId="3" xfId="2" quotePrefix="1" applyNumberFormat="1" applyFont="1" applyFill="1" applyBorder="1" applyAlignment="1">
      <alignment horizontal="center" vertical="center" wrapText="1"/>
    </xf>
    <xf numFmtId="0" fontId="9" fillId="6" borderId="16" xfId="2" applyFill="1" applyBorder="1" applyAlignment="1">
      <alignment vertical="top" wrapText="1"/>
    </xf>
    <xf numFmtId="0" fontId="9" fillId="6" borderId="21" xfId="2" applyFill="1" applyBorder="1" applyAlignment="1">
      <alignment vertical="top" wrapText="1"/>
    </xf>
    <xf numFmtId="0" fontId="9" fillId="6" borderId="17" xfId="2" applyFill="1" applyBorder="1" applyAlignment="1">
      <alignment vertical="top" wrapText="1"/>
    </xf>
    <xf numFmtId="0" fontId="9" fillId="6" borderId="9" xfId="2" applyFill="1" applyBorder="1" applyAlignment="1">
      <alignment vertical="top" wrapText="1"/>
    </xf>
    <xf numFmtId="0" fontId="9" fillId="6" borderId="0" xfId="2" applyFill="1" applyAlignment="1">
      <alignment vertical="top" wrapText="1"/>
    </xf>
    <xf numFmtId="0" fontId="9" fillId="6" borderId="18" xfId="2" applyFill="1" applyBorder="1" applyAlignment="1">
      <alignment vertical="top" wrapText="1"/>
    </xf>
    <xf numFmtId="0" fontId="9" fillId="6" borderId="19" xfId="2" applyFill="1" applyBorder="1" applyAlignment="1">
      <alignment vertical="top" wrapText="1"/>
    </xf>
    <xf numFmtId="0" fontId="9" fillId="6" borderId="22" xfId="2" applyFill="1" applyBorder="1" applyAlignment="1">
      <alignment vertical="top" wrapText="1"/>
    </xf>
    <xf numFmtId="0" fontId="9" fillId="6" borderId="20" xfId="2" applyFill="1" applyBorder="1" applyAlignment="1">
      <alignment vertical="top" wrapText="1"/>
    </xf>
    <xf numFmtId="0" fontId="12" fillId="10" borderId="3" xfId="2" applyFont="1" applyFill="1" applyBorder="1" applyAlignment="1">
      <alignment horizontal="center" vertical="top"/>
    </xf>
    <xf numFmtId="0" fontId="9" fillId="6" borderId="3" xfId="2" applyFill="1" applyBorder="1" applyAlignment="1">
      <alignment horizontal="center" vertical="top" wrapText="1"/>
    </xf>
    <xf numFmtId="0" fontId="9" fillId="0" borderId="21" xfId="2" applyBorder="1" applyAlignment="1">
      <alignment horizontal="center" vertical="top" wrapText="1"/>
    </xf>
    <xf numFmtId="0" fontId="9" fillId="0" borderId="17" xfId="2" applyBorder="1" applyAlignment="1">
      <alignment horizontal="center" vertical="top" wrapText="1"/>
    </xf>
    <xf numFmtId="0" fontId="9" fillId="0" borderId="0" xfId="2" applyAlignment="1">
      <alignment horizontal="center" vertical="top" wrapText="1"/>
    </xf>
    <xf numFmtId="0" fontId="9" fillId="0" borderId="18" xfId="2" applyBorder="1" applyAlignment="1">
      <alignment horizontal="center" vertical="top" wrapText="1"/>
    </xf>
    <xf numFmtId="0" fontId="9" fillId="0" borderId="22" xfId="2" applyBorder="1" applyAlignment="1">
      <alignment horizontal="center" vertical="top" wrapText="1"/>
    </xf>
    <xf numFmtId="0" fontId="9" fillId="0" borderId="20" xfId="2" applyBorder="1" applyAlignment="1">
      <alignment horizontal="center" vertical="top" wrapText="1"/>
    </xf>
    <xf numFmtId="0" fontId="12" fillId="10" borderId="13" xfId="2" applyFont="1" applyFill="1" applyBorder="1" applyAlignment="1">
      <alignment horizontal="center" vertical="center"/>
    </xf>
    <xf numFmtId="0" fontId="12" fillId="10" borderId="15" xfId="2" applyFont="1" applyFill="1" applyBorder="1" applyAlignment="1">
      <alignment horizontal="center" vertical="center"/>
    </xf>
    <xf numFmtId="0" fontId="13" fillId="10" borderId="13" xfId="2" applyFont="1" applyFill="1" applyBorder="1" applyAlignment="1">
      <alignment horizontal="center"/>
    </xf>
    <xf numFmtId="0" fontId="13" fillId="10" borderId="14" xfId="2" applyFont="1" applyFill="1" applyBorder="1" applyAlignment="1">
      <alignment horizontal="center"/>
    </xf>
    <xf numFmtId="0" fontId="13" fillId="10" borderId="15" xfId="2" applyFont="1" applyFill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8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13" borderId="7" xfId="0" applyFill="1" applyBorder="1" applyAlignment="1">
      <alignment horizontal="center" wrapText="1"/>
    </xf>
    <xf numFmtId="0" fontId="0" fillId="13" borderId="4" xfId="0" applyFill="1" applyBorder="1" applyAlignment="1">
      <alignment horizontal="center" wrapText="1"/>
    </xf>
    <xf numFmtId="0" fontId="0" fillId="13" borderId="8" xfId="0" applyFill="1" applyBorder="1" applyAlignment="1">
      <alignment horizontal="center" wrapText="1"/>
    </xf>
    <xf numFmtId="0" fontId="0" fillId="9" borderId="3" xfId="0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0" fontId="5" fillId="7" borderId="2" xfId="0" applyFont="1" applyFill="1" applyBorder="1" applyAlignment="1">
      <alignment horizontal="center" vertical="center" wrapText="1"/>
    </xf>
  </cellXfs>
  <cellStyles count="4">
    <cellStyle name="Comma 2" xfId="3" xr:uid="{801E966C-2DB2-4722-9F50-D8616E9426DC}"/>
    <cellStyle name="Normal" xfId="0" builtinId="0"/>
    <cellStyle name="Normal 2" xfId="2" xr:uid="{2F1C9770-2008-4BD8-831D-00B81C5A034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175260</xdr:colOff>
      <xdr:row>8</xdr:row>
      <xdr:rowOff>175260</xdr:rowOff>
    </xdr:to>
    <xdr:sp macro="" textlink="">
      <xdr:nvSpPr>
        <xdr:cNvPr id="2" name="x__x0000_i1199">
          <a:extLst>
            <a:ext uri="{FF2B5EF4-FFF2-40B4-BE49-F238E27FC236}">
              <a16:creationId xmlns:a16="http://schemas.microsoft.com/office/drawing/2014/main" id="{246D414B-F108-4E15-B4CD-30839530DF50}"/>
            </a:ext>
          </a:extLst>
        </xdr:cNvPr>
        <xdr:cNvSpPr>
          <a:spLocks noChangeAspect="1" noChangeArrowheads="1"/>
        </xdr:cNvSpPr>
      </xdr:nvSpPr>
      <xdr:spPr bwMode="auto">
        <a:xfrm>
          <a:off x="906780" y="2110740"/>
          <a:ext cx="17526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8</xdr:row>
      <xdr:rowOff>0</xdr:rowOff>
    </xdr:from>
    <xdr:to>
      <xdr:col>2</xdr:col>
      <xdr:colOff>335280</xdr:colOff>
      <xdr:row>8</xdr:row>
      <xdr:rowOff>152400</xdr:rowOff>
    </xdr:to>
    <xdr:sp macro="" textlink="">
      <xdr:nvSpPr>
        <xdr:cNvPr id="3" name="alttext-image">
          <a:extLst>
            <a:ext uri="{FF2B5EF4-FFF2-40B4-BE49-F238E27FC236}">
              <a16:creationId xmlns:a16="http://schemas.microsoft.com/office/drawing/2014/main" id="{37C73FE2-7826-414B-95E2-80DA37D9A701}"/>
            </a:ext>
          </a:extLst>
        </xdr:cNvPr>
        <xdr:cNvSpPr>
          <a:spLocks noChangeAspect="1" noChangeArrowheads="1"/>
        </xdr:cNvSpPr>
      </xdr:nvSpPr>
      <xdr:spPr bwMode="auto">
        <a:xfrm>
          <a:off x="1089660" y="2110740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</xdr:colOff>
      <xdr:row>1</xdr:row>
      <xdr:rowOff>121920</xdr:rowOff>
    </xdr:from>
    <xdr:to>
      <xdr:col>2</xdr:col>
      <xdr:colOff>583406</xdr:colOff>
      <xdr:row>3</xdr:row>
      <xdr:rowOff>232624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D5990427-0F4C-4BAA-A395-C7F623CC6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350520"/>
          <a:ext cx="1215866" cy="834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175260</xdr:colOff>
      <xdr:row>24</xdr:row>
      <xdr:rowOff>83820</xdr:rowOff>
    </xdr:from>
    <xdr:to>
      <xdr:col>2</xdr:col>
      <xdr:colOff>792480</xdr:colOff>
      <xdr:row>25</xdr:row>
      <xdr:rowOff>152401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562AF12B-C897-4C18-A27D-0A0734720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114"/>
        <a:stretch>
          <a:fillRect/>
        </a:stretch>
      </xdr:blipFill>
      <xdr:spPr bwMode="auto">
        <a:xfrm>
          <a:off x="175260" y="8016240"/>
          <a:ext cx="1524000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129540</xdr:colOff>
      <xdr:row>20</xdr:row>
      <xdr:rowOff>38100</xdr:rowOff>
    </xdr:from>
    <xdr:to>
      <xdr:col>2</xdr:col>
      <xdr:colOff>30480</xdr:colOff>
      <xdr:row>23</xdr:row>
      <xdr:rowOff>38100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4E1F47F4-4BFC-41A6-9F8A-A91A4C31D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" y="7056120"/>
          <a:ext cx="61722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175260</xdr:colOff>
      <xdr:row>8</xdr:row>
      <xdr:rowOff>175260</xdr:rowOff>
    </xdr:to>
    <xdr:sp macro="" textlink="">
      <xdr:nvSpPr>
        <xdr:cNvPr id="2" name="x__x0000_i1199">
          <a:extLst>
            <a:ext uri="{FF2B5EF4-FFF2-40B4-BE49-F238E27FC236}">
              <a16:creationId xmlns:a16="http://schemas.microsoft.com/office/drawing/2014/main" id="{6E204565-DEEB-4446-AB2D-7E1992E452F8}"/>
            </a:ext>
          </a:extLst>
        </xdr:cNvPr>
        <xdr:cNvSpPr>
          <a:spLocks noChangeAspect="1" noChangeArrowheads="1"/>
        </xdr:cNvSpPr>
      </xdr:nvSpPr>
      <xdr:spPr bwMode="auto">
        <a:xfrm>
          <a:off x="906780" y="2110740"/>
          <a:ext cx="17526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8</xdr:row>
      <xdr:rowOff>0</xdr:rowOff>
    </xdr:from>
    <xdr:to>
      <xdr:col>2</xdr:col>
      <xdr:colOff>335280</xdr:colOff>
      <xdr:row>8</xdr:row>
      <xdr:rowOff>152400</xdr:rowOff>
    </xdr:to>
    <xdr:sp macro="" textlink="">
      <xdr:nvSpPr>
        <xdr:cNvPr id="3" name="alttext-image">
          <a:extLst>
            <a:ext uri="{FF2B5EF4-FFF2-40B4-BE49-F238E27FC236}">
              <a16:creationId xmlns:a16="http://schemas.microsoft.com/office/drawing/2014/main" id="{CBD2C8F3-A330-4234-B509-AD041D0092C4}"/>
            </a:ext>
          </a:extLst>
        </xdr:cNvPr>
        <xdr:cNvSpPr>
          <a:spLocks noChangeAspect="1" noChangeArrowheads="1"/>
        </xdr:cNvSpPr>
      </xdr:nvSpPr>
      <xdr:spPr bwMode="auto">
        <a:xfrm>
          <a:off x="1089660" y="2110740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</xdr:colOff>
      <xdr:row>1</xdr:row>
      <xdr:rowOff>121920</xdr:rowOff>
    </xdr:from>
    <xdr:to>
      <xdr:col>2</xdr:col>
      <xdr:colOff>583406</xdr:colOff>
      <xdr:row>3</xdr:row>
      <xdr:rowOff>232624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F10418F6-30A0-4067-AFCD-0CEFD8079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350520"/>
          <a:ext cx="1215866" cy="834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175260</xdr:colOff>
      <xdr:row>26</xdr:row>
      <xdr:rowOff>83820</xdr:rowOff>
    </xdr:from>
    <xdr:to>
      <xdr:col>2</xdr:col>
      <xdr:colOff>792480</xdr:colOff>
      <xdr:row>27</xdr:row>
      <xdr:rowOff>152400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F9CE9EB3-481C-4D78-A80B-2AF5CC02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114"/>
        <a:stretch>
          <a:fillRect/>
        </a:stretch>
      </xdr:blipFill>
      <xdr:spPr bwMode="auto">
        <a:xfrm>
          <a:off x="175260" y="8016240"/>
          <a:ext cx="1524000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129540</xdr:colOff>
      <xdr:row>22</xdr:row>
      <xdr:rowOff>38100</xdr:rowOff>
    </xdr:from>
    <xdr:to>
      <xdr:col>2</xdr:col>
      <xdr:colOff>30480</xdr:colOff>
      <xdr:row>25</xdr:row>
      <xdr:rowOff>38100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FDCBA564-26CE-44AB-8CE5-B0834897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" y="7056120"/>
          <a:ext cx="61722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4E01-59B9-4DDD-B060-AE3161B484B4}">
  <sheetPr>
    <pageSetUpPr fitToPage="1"/>
  </sheetPr>
  <dimension ref="A1:W25"/>
  <sheetViews>
    <sheetView tabSelected="1" view="pageBreakPreview" zoomScale="64" zoomScaleNormal="64" zoomScaleSheetLayoutView="64" workbookViewId="0">
      <selection activeCell="N10" sqref="N10"/>
    </sheetView>
  </sheetViews>
  <sheetFormatPr defaultColWidth="9.21875" defaultRowHeight="18"/>
  <cols>
    <col min="1" max="1" width="2.77734375" style="32" customWidth="1"/>
    <col min="2" max="2" width="10.44140625" style="32" customWidth="1"/>
    <col min="3" max="3" width="12.44140625" style="32" customWidth="1"/>
    <col min="4" max="4" width="9.44140625" style="32" customWidth="1"/>
    <col min="5" max="5" width="16.21875" style="32" customWidth="1"/>
    <col min="6" max="6" width="27.44140625" style="32" customWidth="1"/>
    <col min="7" max="7" width="11.21875" style="32" customWidth="1"/>
    <col min="8" max="8" width="15.77734375" style="32" customWidth="1"/>
    <col min="9" max="16" width="14.44140625" style="32" customWidth="1"/>
    <col min="17" max="19" width="17.109375" style="32" customWidth="1"/>
    <col min="20" max="20" width="12.5546875" style="32" customWidth="1"/>
    <col min="21" max="21" width="11.6640625" style="32" customWidth="1"/>
    <col min="22" max="22" width="15.77734375" style="32" bestFit="1" customWidth="1"/>
    <col min="23" max="23" width="12.33203125" style="32" customWidth="1"/>
    <col min="24" max="257" width="9.21875" style="32"/>
    <col min="258" max="258" width="2.77734375" style="32" customWidth="1"/>
    <col min="259" max="259" width="10.44140625" style="32" customWidth="1"/>
    <col min="260" max="260" width="12.44140625" style="32" customWidth="1"/>
    <col min="261" max="261" width="9.44140625" style="32" customWidth="1"/>
    <col min="262" max="262" width="16.21875" style="32" customWidth="1"/>
    <col min="263" max="263" width="27.44140625" style="32" customWidth="1"/>
    <col min="264" max="264" width="11.21875" style="32" customWidth="1"/>
    <col min="265" max="265" width="4.77734375" style="32" customWidth="1"/>
    <col min="266" max="266" width="8.21875" style="32" customWidth="1"/>
    <col min="267" max="270" width="14.44140625" style="32" customWidth="1"/>
    <col min="271" max="273" width="17.109375" style="32" customWidth="1"/>
    <col min="274" max="274" width="12.5546875" style="32" customWidth="1"/>
    <col min="275" max="275" width="15.109375" style="32" customWidth="1"/>
    <col min="276" max="276" width="12.44140625" style="32" customWidth="1"/>
    <col min="277" max="277" width="11.6640625" style="32" customWidth="1"/>
    <col min="278" max="278" width="15.77734375" style="32" bestFit="1" customWidth="1"/>
    <col min="279" max="279" width="12.33203125" style="32" customWidth="1"/>
    <col min="280" max="513" width="9.21875" style="32"/>
    <col min="514" max="514" width="2.77734375" style="32" customWidth="1"/>
    <col min="515" max="515" width="10.44140625" style="32" customWidth="1"/>
    <col min="516" max="516" width="12.44140625" style="32" customWidth="1"/>
    <col min="517" max="517" width="9.44140625" style="32" customWidth="1"/>
    <col min="518" max="518" width="16.21875" style="32" customWidth="1"/>
    <col min="519" max="519" width="27.44140625" style="32" customWidth="1"/>
    <col min="520" max="520" width="11.21875" style="32" customWidth="1"/>
    <col min="521" max="521" width="4.77734375" style="32" customWidth="1"/>
    <col min="522" max="522" width="8.21875" style="32" customWidth="1"/>
    <col min="523" max="526" width="14.44140625" style="32" customWidth="1"/>
    <col min="527" max="529" width="17.109375" style="32" customWidth="1"/>
    <col min="530" max="530" width="12.5546875" style="32" customWidth="1"/>
    <col min="531" max="531" width="15.109375" style="32" customWidth="1"/>
    <col min="532" max="532" width="12.44140625" style="32" customWidth="1"/>
    <col min="533" max="533" width="11.6640625" style="32" customWidth="1"/>
    <col min="534" max="534" width="15.77734375" style="32" bestFit="1" customWidth="1"/>
    <col min="535" max="535" width="12.33203125" style="32" customWidth="1"/>
    <col min="536" max="769" width="9.21875" style="32"/>
    <col min="770" max="770" width="2.77734375" style="32" customWidth="1"/>
    <col min="771" max="771" width="10.44140625" style="32" customWidth="1"/>
    <col min="772" max="772" width="12.44140625" style="32" customWidth="1"/>
    <col min="773" max="773" width="9.44140625" style="32" customWidth="1"/>
    <col min="774" max="774" width="16.21875" style="32" customWidth="1"/>
    <col min="775" max="775" width="27.44140625" style="32" customWidth="1"/>
    <col min="776" max="776" width="11.21875" style="32" customWidth="1"/>
    <col min="777" max="777" width="4.77734375" style="32" customWidth="1"/>
    <col min="778" max="778" width="8.21875" style="32" customWidth="1"/>
    <col min="779" max="782" width="14.44140625" style="32" customWidth="1"/>
    <col min="783" max="785" width="17.109375" style="32" customWidth="1"/>
    <col min="786" max="786" width="12.5546875" style="32" customWidth="1"/>
    <col min="787" max="787" width="15.109375" style="32" customWidth="1"/>
    <col min="788" max="788" width="12.44140625" style="32" customWidth="1"/>
    <col min="789" max="789" width="11.6640625" style="32" customWidth="1"/>
    <col min="790" max="790" width="15.77734375" style="32" bestFit="1" customWidth="1"/>
    <col min="791" max="791" width="12.33203125" style="32" customWidth="1"/>
    <col min="792" max="1025" width="9.21875" style="32"/>
    <col min="1026" max="1026" width="2.77734375" style="32" customWidth="1"/>
    <col min="1027" max="1027" width="10.44140625" style="32" customWidth="1"/>
    <col min="1028" max="1028" width="12.44140625" style="32" customWidth="1"/>
    <col min="1029" max="1029" width="9.44140625" style="32" customWidth="1"/>
    <col min="1030" max="1030" width="16.21875" style="32" customWidth="1"/>
    <col min="1031" max="1031" width="27.44140625" style="32" customWidth="1"/>
    <col min="1032" max="1032" width="11.21875" style="32" customWidth="1"/>
    <col min="1033" max="1033" width="4.77734375" style="32" customWidth="1"/>
    <col min="1034" max="1034" width="8.21875" style="32" customWidth="1"/>
    <col min="1035" max="1038" width="14.44140625" style="32" customWidth="1"/>
    <col min="1039" max="1041" width="17.109375" style="32" customWidth="1"/>
    <col min="1042" max="1042" width="12.5546875" style="32" customWidth="1"/>
    <col min="1043" max="1043" width="15.109375" style="32" customWidth="1"/>
    <col min="1044" max="1044" width="12.44140625" style="32" customWidth="1"/>
    <col min="1045" max="1045" width="11.6640625" style="32" customWidth="1"/>
    <col min="1046" max="1046" width="15.77734375" style="32" bestFit="1" customWidth="1"/>
    <col min="1047" max="1047" width="12.33203125" style="32" customWidth="1"/>
    <col min="1048" max="1281" width="9.21875" style="32"/>
    <col min="1282" max="1282" width="2.77734375" style="32" customWidth="1"/>
    <col min="1283" max="1283" width="10.44140625" style="32" customWidth="1"/>
    <col min="1284" max="1284" width="12.44140625" style="32" customWidth="1"/>
    <col min="1285" max="1285" width="9.44140625" style="32" customWidth="1"/>
    <col min="1286" max="1286" width="16.21875" style="32" customWidth="1"/>
    <col min="1287" max="1287" width="27.44140625" style="32" customWidth="1"/>
    <col min="1288" max="1288" width="11.21875" style="32" customWidth="1"/>
    <col min="1289" max="1289" width="4.77734375" style="32" customWidth="1"/>
    <col min="1290" max="1290" width="8.21875" style="32" customWidth="1"/>
    <col min="1291" max="1294" width="14.44140625" style="32" customWidth="1"/>
    <col min="1295" max="1297" width="17.109375" style="32" customWidth="1"/>
    <col min="1298" max="1298" width="12.5546875" style="32" customWidth="1"/>
    <col min="1299" max="1299" width="15.109375" style="32" customWidth="1"/>
    <col min="1300" max="1300" width="12.44140625" style="32" customWidth="1"/>
    <col min="1301" max="1301" width="11.6640625" style="32" customWidth="1"/>
    <col min="1302" max="1302" width="15.77734375" style="32" bestFit="1" customWidth="1"/>
    <col min="1303" max="1303" width="12.33203125" style="32" customWidth="1"/>
    <col min="1304" max="1537" width="9.21875" style="32"/>
    <col min="1538" max="1538" width="2.77734375" style="32" customWidth="1"/>
    <col min="1539" max="1539" width="10.44140625" style="32" customWidth="1"/>
    <col min="1540" max="1540" width="12.44140625" style="32" customWidth="1"/>
    <col min="1541" max="1541" width="9.44140625" style="32" customWidth="1"/>
    <col min="1542" max="1542" width="16.21875" style="32" customWidth="1"/>
    <col min="1543" max="1543" width="27.44140625" style="32" customWidth="1"/>
    <col min="1544" max="1544" width="11.21875" style="32" customWidth="1"/>
    <col min="1545" max="1545" width="4.77734375" style="32" customWidth="1"/>
    <col min="1546" max="1546" width="8.21875" style="32" customWidth="1"/>
    <col min="1547" max="1550" width="14.44140625" style="32" customWidth="1"/>
    <col min="1551" max="1553" width="17.109375" style="32" customWidth="1"/>
    <col min="1554" max="1554" width="12.5546875" style="32" customWidth="1"/>
    <col min="1555" max="1555" width="15.109375" style="32" customWidth="1"/>
    <col min="1556" max="1556" width="12.44140625" style="32" customWidth="1"/>
    <col min="1557" max="1557" width="11.6640625" style="32" customWidth="1"/>
    <col min="1558" max="1558" width="15.77734375" style="32" bestFit="1" customWidth="1"/>
    <col min="1559" max="1559" width="12.33203125" style="32" customWidth="1"/>
    <col min="1560" max="1793" width="9.21875" style="32"/>
    <col min="1794" max="1794" width="2.77734375" style="32" customWidth="1"/>
    <col min="1795" max="1795" width="10.44140625" style="32" customWidth="1"/>
    <col min="1796" max="1796" width="12.44140625" style="32" customWidth="1"/>
    <col min="1797" max="1797" width="9.44140625" style="32" customWidth="1"/>
    <col min="1798" max="1798" width="16.21875" style="32" customWidth="1"/>
    <col min="1799" max="1799" width="27.44140625" style="32" customWidth="1"/>
    <col min="1800" max="1800" width="11.21875" style="32" customWidth="1"/>
    <col min="1801" max="1801" width="4.77734375" style="32" customWidth="1"/>
    <col min="1802" max="1802" width="8.21875" style="32" customWidth="1"/>
    <col min="1803" max="1806" width="14.44140625" style="32" customWidth="1"/>
    <col min="1807" max="1809" width="17.109375" style="32" customWidth="1"/>
    <col min="1810" max="1810" width="12.5546875" style="32" customWidth="1"/>
    <col min="1811" max="1811" width="15.109375" style="32" customWidth="1"/>
    <col min="1812" max="1812" width="12.44140625" style="32" customWidth="1"/>
    <col min="1813" max="1813" width="11.6640625" style="32" customWidth="1"/>
    <col min="1814" max="1814" width="15.77734375" style="32" bestFit="1" customWidth="1"/>
    <col min="1815" max="1815" width="12.33203125" style="32" customWidth="1"/>
    <col min="1816" max="2049" width="9.21875" style="32"/>
    <col min="2050" max="2050" width="2.77734375" style="32" customWidth="1"/>
    <col min="2051" max="2051" width="10.44140625" style="32" customWidth="1"/>
    <col min="2052" max="2052" width="12.44140625" style="32" customWidth="1"/>
    <col min="2053" max="2053" width="9.44140625" style="32" customWidth="1"/>
    <col min="2054" max="2054" width="16.21875" style="32" customWidth="1"/>
    <col min="2055" max="2055" width="27.44140625" style="32" customWidth="1"/>
    <col min="2056" max="2056" width="11.21875" style="32" customWidth="1"/>
    <col min="2057" max="2057" width="4.77734375" style="32" customWidth="1"/>
    <col min="2058" max="2058" width="8.21875" style="32" customWidth="1"/>
    <col min="2059" max="2062" width="14.44140625" style="32" customWidth="1"/>
    <col min="2063" max="2065" width="17.109375" style="32" customWidth="1"/>
    <col min="2066" max="2066" width="12.5546875" style="32" customWidth="1"/>
    <col min="2067" max="2067" width="15.109375" style="32" customWidth="1"/>
    <col min="2068" max="2068" width="12.44140625" style="32" customWidth="1"/>
    <col min="2069" max="2069" width="11.6640625" style="32" customWidth="1"/>
    <col min="2070" max="2070" width="15.77734375" style="32" bestFit="1" customWidth="1"/>
    <col min="2071" max="2071" width="12.33203125" style="32" customWidth="1"/>
    <col min="2072" max="2305" width="9.21875" style="32"/>
    <col min="2306" max="2306" width="2.77734375" style="32" customWidth="1"/>
    <col min="2307" max="2307" width="10.44140625" style="32" customWidth="1"/>
    <col min="2308" max="2308" width="12.44140625" style="32" customWidth="1"/>
    <col min="2309" max="2309" width="9.44140625" style="32" customWidth="1"/>
    <col min="2310" max="2310" width="16.21875" style="32" customWidth="1"/>
    <col min="2311" max="2311" width="27.44140625" style="32" customWidth="1"/>
    <col min="2312" max="2312" width="11.21875" style="32" customWidth="1"/>
    <col min="2313" max="2313" width="4.77734375" style="32" customWidth="1"/>
    <col min="2314" max="2314" width="8.21875" style="32" customWidth="1"/>
    <col min="2315" max="2318" width="14.44140625" style="32" customWidth="1"/>
    <col min="2319" max="2321" width="17.109375" style="32" customWidth="1"/>
    <col min="2322" max="2322" width="12.5546875" style="32" customWidth="1"/>
    <col min="2323" max="2323" width="15.109375" style="32" customWidth="1"/>
    <col min="2324" max="2324" width="12.44140625" style="32" customWidth="1"/>
    <col min="2325" max="2325" width="11.6640625" style="32" customWidth="1"/>
    <col min="2326" max="2326" width="15.77734375" style="32" bestFit="1" customWidth="1"/>
    <col min="2327" max="2327" width="12.33203125" style="32" customWidth="1"/>
    <col min="2328" max="2561" width="9.21875" style="32"/>
    <col min="2562" max="2562" width="2.77734375" style="32" customWidth="1"/>
    <col min="2563" max="2563" width="10.44140625" style="32" customWidth="1"/>
    <col min="2564" max="2564" width="12.44140625" style="32" customWidth="1"/>
    <col min="2565" max="2565" width="9.44140625" style="32" customWidth="1"/>
    <col min="2566" max="2566" width="16.21875" style="32" customWidth="1"/>
    <col min="2567" max="2567" width="27.44140625" style="32" customWidth="1"/>
    <col min="2568" max="2568" width="11.21875" style="32" customWidth="1"/>
    <col min="2569" max="2569" width="4.77734375" style="32" customWidth="1"/>
    <col min="2570" max="2570" width="8.21875" style="32" customWidth="1"/>
    <col min="2571" max="2574" width="14.44140625" style="32" customWidth="1"/>
    <col min="2575" max="2577" width="17.109375" style="32" customWidth="1"/>
    <col min="2578" max="2578" width="12.5546875" style="32" customWidth="1"/>
    <col min="2579" max="2579" width="15.109375" style="32" customWidth="1"/>
    <col min="2580" max="2580" width="12.44140625" style="32" customWidth="1"/>
    <col min="2581" max="2581" width="11.6640625" style="32" customWidth="1"/>
    <col min="2582" max="2582" width="15.77734375" style="32" bestFit="1" customWidth="1"/>
    <col min="2583" max="2583" width="12.33203125" style="32" customWidth="1"/>
    <col min="2584" max="2817" width="9.21875" style="32"/>
    <col min="2818" max="2818" width="2.77734375" style="32" customWidth="1"/>
    <col min="2819" max="2819" width="10.44140625" style="32" customWidth="1"/>
    <col min="2820" max="2820" width="12.44140625" style="32" customWidth="1"/>
    <col min="2821" max="2821" width="9.44140625" style="32" customWidth="1"/>
    <col min="2822" max="2822" width="16.21875" style="32" customWidth="1"/>
    <col min="2823" max="2823" width="27.44140625" style="32" customWidth="1"/>
    <col min="2824" max="2824" width="11.21875" style="32" customWidth="1"/>
    <col min="2825" max="2825" width="4.77734375" style="32" customWidth="1"/>
    <col min="2826" max="2826" width="8.21875" style="32" customWidth="1"/>
    <col min="2827" max="2830" width="14.44140625" style="32" customWidth="1"/>
    <col min="2831" max="2833" width="17.109375" style="32" customWidth="1"/>
    <col min="2834" max="2834" width="12.5546875" style="32" customWidth="1"/>
    <col min="2835" max="2835" width="15.109375" style="32" customWidth="1"/>
    <col min="2836" max="2836" width="12.44140625" style="32" customWidth="1"/>
    <col min="2837" max="2837" width="11.6640625" style="32" customWidth="1"/>
    <col min="2838" max="2838" width="15.77734375" style="32" bestFit="1" customWidth="1"/>
    <col min="2839" max="2839" width="12.33203125" style="32" customWidth="1"/>
    <col min="2840" max="3073" width="9.21875" style="32"/>
    <col min="3074" max="3074" width="2.77734375" style="32" customWidth="1"/>
    <col min="3075" max="3075" width="10.44140625" style="32" customWidth="1"/>
    <col min="3076" max="3076" width="12.44140625" style="32" customWidth="1"/>
    <col min="3077" max="3077" width="9.44140625" style="32" customWidth="1"/>
    <col min="3078" max="3078" width="16.21875" style="32" customWidth="1"/>
    <col min="3079" max="3079" width="27.44140625" style="32" customWidth="1"/>
    <col min="3080" max="3080" width="11.21875" style="32" customWidth="1"/>
    <col min="3081" max="3081" width="4.77734375" style="32" customWidth="1"/>
    <col min="3082" max="3082" width="8.21875" style="32" customWidth="1"/>
    <col min="3083" max="3086" width="14.44140625" style="32" customWidth="1"/>
    <col min="3087" max="3089" width="17.109375" style="32" customWidth="1"/>
    <col min="3090" max="3090" width="12.5546875" style="32" customWidth="1"/>
    <col min="3091" max="3091" width="15.109375" style="32" customWidth="1"/>
    <col min="3092" max="3092" width="12.44140625" style="32" customWidth="1"/>
    <col min="3093" max="3093" width="11.6640625" style="32" customWidth="1"/>
    <col min="3094" max="3094" width="15.77734375" style="32" bestFit="1" customWidth="1"/>
    <col min="3095" max="3095" width="12.33203125" style="32" customWidth="1"/>
    <col min="3096" max="3329" width="9.21875" style="32"/>
    <col min="3330" max="3330" width="2.77734375" style="32" customWidth="1"/>
    <col min="3331" max="3331" width="10.44140625" style="32" customWidth="1"/>
    <col min="3332" max="3332" width="12.44140625" style="32" customWidth="1"/>
    <col min="3333" max="3333" width="9.44140625" style="32" customWidth="1"/>
    <col min="3334" max="3334" width="16.21875" style="32" customWidth="1"/>
    <col min="3335" max="3335" width="27.44140625" style="32" customWidth="1"/>
    <col min="3336" max="3336" width="11.21875" style="32" customWidth="1"/>
    <col min="3337" max="3337" width="4.77734375" style="32" customWidth="1"/>
    <col min="3338" max="3338" width="8.21875" style="32" customWidth="1"/>
    <col min="3339" max="3342" width="14.44140625" style="32" customWidth="1"/>
    <col min="3343" max="3345" width="17.109375" style="32" customWidth="1"/>
    <col min="3346" max="3346" width="12.5546875" style="32" customWidth="1"/>
    <col min="3347" max="3347" width="15.109375" style="32" customWidth="1"/>
    <col min="3348" max="3348" width="12.44140625" style="32" customWidth="1"/>
    <col min="3349" max="3349" width="11.6640625" style="32" customWidth="1"/>
    <col min="3350" max="3350" width="15.77734375" style="32" bestFit="1" customWidth="1"/>
    <col min="3351" max="3351" width="12.33203125" style="32" customWidth="1"/>
    <col min="3352" max="3585" width="9.21875" style="32"/>
    <col min="3586" max="3586" width="2.77734375" style="32" customWidth="1"/>
    <col min="3587" max="3587" width="10.44140625" style="32" customWidth="1"/>
    <col min="3588" max="3588" width="12.44140625" style="32" customWidth="1"/>
    <col min="3589" max="3589" width="9.44140625" style="32" customWidth="1"/>
    <col min="3590" max="3590" width="16.21875" style="32" customWidth="1"/>
    <col min="3591" max="3591" width="27.44140625" style="32" customWidth="1"/>
    <col min="3592" max="3592" width="11.21875" style="32" customWidth="1"/>
    <col min="3593" max="3593" width="4.77734375" style="32" customWidth="1"/>
    <col min="3594" max="3594" width="8.21875" style="32" customWidth="1"/>
    <col min="3595" max="3598" width="14.44140625" style="32" customWidth="1"/>
    <col min="3599" max="3601" width="17.109375" style="32" customWidth="1"/>
    <col min="3602" max="3602" width="12.5546875" style="32" customWidth="1"/>
    <col min="3603" max="3603" width="15.109375" style="32" customWidth="1"/>
    <col min="3604" max="3604" width="12.44140625" style="32" customWidth="1"/>
    <col min="3605" max="3605" width="11.6640625" style="32" customWidth="1"/>
    <col min="3606" max="3606" width="15.77734375" style="32" bestFit="1" customWidth="1"/>
    <col min="3607" max="3607" width="12.33203125" style="32" customWidth="1"/>
    <col min="3608" max="3841" width="9.21875" style="32"/>
    <col min="3842" max="3842" width="2.77734375" style="32" customWidth="1"/>
    <col min="3843" max="3843" width="10.44140625" style="32" customWidth="1"/>
    <col min="3844" max="3844" width="12.44140625" style="32" customWidth="1"/>
    <col min="3845" max="3845" width="9.44140625" style="32" customWidth="1"/>
    <col min="3846" max="3846" width="16.21875" style="32" customWidth="1"/>
    <col min="3847" max="3847" width="27.44140625" style="32" customWidth="1"/>
    <col min="3848" max="3848" width="11.21875" style="32" customWidth="1"/>
    <col min="3849" max="3849" width="4.77734375" style="32" customWidth="1"/>
    <col min="3850" max="3850" width="8.21875" style="32" customWidth="1"/>
    <col min="3851" max="3854" width="14.44140625" style="32" customWidth="1"/>
    <col min="3855" max="3857" width="17.109375" style="32" customWidth="1"/>
    <col min="3858" max="3858" width="12.5546875" style="32" customWidth="1"/>
    <col min="3859" max="3859" width="15.109375" style="32" customWidth="1"/>
    <col min="3860" max="3860" width="12.44140625" style="32" customWidth="1"/>
    <col min="3861" max="3861" width="11.6640625" style="32" customWidth="1"/>
    <col min="3862" max="3862" width="15.77734375" style="32" bestFit="1" customWidth="1"/>
    <col min="3863" max="3863" width="12.33203125" style="32" customWidth="1"/>
    <col min="3864" max="4097" width="9.21875" style="32"/>
    <col min="4098" max="4098" width="2.77734375" style="32" customWidth="1"/>
    <col min="4099" max="4099" width="10.44140625" style="32" customWidth="1"/>
    <col min="4100" max="4100" width="12.44140625" style="32" customWidth="1"/>
    <col min="4101" max="4101" width="9.44140625" style="32" customWidth="1"/>
    <col min="4102" max="4102" width="16.21875" style="32" customWidth="1"/>
    <col min="4103" max="4103" width="27.44140625" style="32" customWidth="1"/>
    <col min="4104" max="4104" width="11.21875" style="32" customWidth="1"/>
    <col min="4105" max="4105" width="4.77734375" style="32" customWidth="1"/>
    <col min="4106" max="4106" width="8.21875" style="32" customWidth="1"/>
    <col min="4107" max="4110" width="14.44140625" style="32" customWidth="1"/>
    <col min="4111" max="4113" width="17.109375" style="32" customWidth="1"/>
    <col min="4114" max="4114" width="12.5546875" style="32" customWidth="1"/>
    <col min="4115" max="4115" width="15.109375" style="32" customWidth="1"/>
    <col min="4116" max="4116" width="12.44140625" style="32" customWidth="1"/>
    <col min="4117" max="4117" width="11.6640625" style="32" customWidth="1"/>
    <col min="4118" max="4118" width="15.77734375" style="32" bestFit="1" customWidth="1"/>
    <col min="4119" max="4119" width="12.33203125" style="32" customWidth="1"/>
    <col min="4120" max="4353" width="9.21875" style="32"/>
    <col min="4354" max="4354" width="2.77734375" style="32" customWidth="1"/>
    <col min="4355" max="4355" width="10.44140625" style="32" customWidth="1"/>
    <col min="4356" max="4356" width="12.44140625" style="32" customWidth="1"/>
    <col min="4357" max="4357" width="9.44140625" style="32" customWidth="1"/>
    <col min="4358" max="4358" width="16.21875" style="32" customWidth="1"/>
    <col min="4359" max="4359" width="27.44140625" style="32" customWidth="1"/>
    <col min="4360" max="4360" width="11.21875" style="32" customWidth="1"/>
    <col min="4361" max="4361" width="4.77734375" style="32" customWidth="1"/>
    <col min="4362" max="4362" width="8.21875" style="32" customWidth="1"/>
    <col min="4363" max="4366" width="14.44140625" style="32" customWidth="1"/>
    <col min="4367" max="4369" width="17.109375" style="32" customWidth="1"/>
    <col min="4370" max="4370" width="12.5546875" style="32" customWidth="1"/>
    <col min="4371" max="4371" width="15.109375" style="32" customWidth="1"/>
    <col min="4372" max="4372" width="12.44140625" style="32" customWidth="1"/>
    <col min="4373" max="4373" width="11.6640625" style="32" customWidth="1"/>
    <col min="4374" max="4374" width="15.77734375" style="32" bestFit="1" customWidth="1"/>
    <col min="4375" max="4375" width="12.33203125" style="32" customWidth="1"/>
    <col min="4376" max="4609" width="9.21875" style="32"/>
    <col min="4610" max="4610" width="2.77734375" style="32" customWidth="1"/>
    <col min="4611" max="4611" width="10.44140625" style="32" customWidth="1"/>
    <col min="4612" max="4612" width="12.44140625" style="32" customWidth="1"/>
    <col min="4613" max="4613" width="9.44140625" style="32" customWidth="1"/>
    <col min="4614" max="4614" width="16.21875" style="32" customWidth="1"/>
    <col min="4615" max="4615" width="27.44140625" style="32" customWidth="1"/>
    <col min="4616" max="4616" width="11.21875" style="32" customWidth="1"/>
    <col min="4617" max="4617" width="4.77734375" style="32" customWidth="1"/>
    <col min="4618" max="4618" width="8.21875" style="32" customWidth="1"/>
    <col min="4619" max="4622" width="14.44140625" style="32" customWidth="1"/>
    <col min="4623" max="4625" width="17.109375" style="32" customWidth="1"/>
    <col min="4626" max="4626" width="12.5546875" style="32" customWidth="1"/>
    <col min="4627" max="4627" width="15.109375" style="32" customWidth="1"/>
    <col min="4628" max="4628" width="12.44140625" style="32" customWidth="1"/>
    <col min="4629" max="4629" width="11.6640625" style="32" customWidth="1"/>
    <col min="4630" max="4630" width="15.77734375" style="32" bestFit="1" customWidth="1"/>
    <col min="4631" max="4631" width="12.33203125" style="32" customWidth="1"/>
    <col min="4632" max="4865" width="9.21875" style="32"/>
    <col min="4866" max="4866" width="2.77734375" style="32" customWidth="1"/>
    <col min="4867" max="4867" width="10.44140625" style="32" customWidth="1"/>
    <col min="4868" max="4868" width="12.44140625" style="32" customWidth="1"/>
    <col min="4869" max="4869" width="9.44140625" style="32" customWidth="1"/>
    <col min="4870" max="4870" width="16.21875" style="32" customWidth="1"/>
    <col min="4871" max="4871" width="27.44140625" style="32" customWidth="1"/>
    <col min="4872" max="4872" width="11.21875" style="32" customWidth="1"/>
    <col min="4873" max="4873" width="4.77734375" style="32" customWidth="1"/>
    <col min="4874" max="4874" width="8.21875" style="32" customWidth="1"/>
    <col min="4875" max="4878" width="14.44140625" style="32" customWidth="1"/>
    <col min="4879" max="4881" width="17.109375" style="32" customWidth="1"/>
    <col min="4882" max="4882" width="12.5546875" style="32" customWidth="1"/>
    <col min="4883" max="4883" width="15.109375" style="32" customWidth="1"/>
    <col min="4884" max="4884" width="12.44140625" style="32" customWidth="1"/>
    <col min="4885" max="4885" width="11.6640625" style="32" customWidth="1"/>
    <col min="4886" max="4886" width="15.77734375" style="32" bestFit="1" customWidth="1"/>
    <col min="4887" max="4887" width="12.33203125" style="32" customWidth="1"/>
    <col min="4888" max="5121" width="9.21875" style="32"/>
    <col min="5122" max="5122" width="2.77734375" style="32" customWidth="1"/>
    <col min="5123" max="5123" width="10.44140625" style="32" customWidth="1"/>
    <col min="5124" max="5124" width="12.44140625" style="32" customWidth="1"/>
    <col min="5125" max="5125" width="9.44140625" style="32" customWidth="1"/>
    <col min="5126" max="5126" width="16.21875" style="32" customWidth="1"/>
    <col min="5127" max="5127" width="27.44140625" style="32" customWidth="1"/>
    <col min="5128" max="5128" width="11.21875" style="32" customWidth="1"/>
    <col min="5129" max="5129" width="4.77734375" style="32" customWidth="1"/>
    <col min="5130" max="5130" width="8.21875" style="32" customWidth="1"/>
    <col min="5131" max="5134" width="14.44140625" style="32" customWidth="1"/>
    <col min="5135" max="5137" width="17.109375" style="32" customWidth="1"/>
    <col min="5138" max="5138" width="12.5546875" style="32" customWidth="1"/>
    <col min="5139" max="5139" width="15.109375" style="32" customWidth="1"/>
    <col min="5140" max="5140" width="12.44140625" style="32" customWidth="1"/>
    <col min="5141" max="5141" width="11.6640625" style="32" customWidth="1"/>
    <col min="5142" max="5142" width="15.77734375" style="32" bestFit="1" customWidth="1"/>
    <col min="5143" max="5143" width="12.33203125" style="32" customWidth="1"/>
    <col min="5144" max="5377" width="9.21875" style="32"/>
    <col min="5378" max="5378" width="2.77734375" style="32" customWidth="1"/>
    <col min="5379" max="5379" width="10.44140625" style="32" customWidth="1"/>
    <col min="5380" max="5380" width="12.44140625" style="32" customWidth="1"/>
    <col min="5381" max="5381" width="9.44140625" style="32" customWidth="1"/>
    <col min="5382" max="5382" width="16.21875" style="32" customWidth="1"/>
    <col min="5383" max="5383" width="27.44140625" style="32" customWidth="1"/>
    <col min="5384" max="5384" width="11.21875" style="32" customWidth="1"/>
    <col min="5385" max="5385" width="4.77734375" style="32" customWidth="1"/>
    <col min="5386" max="5386" width="8.21875" style="32" customWidth="1"/>
    <col min="5387" max="5390" width="14.44140625" style="32" customWidth="1"/>
    <col min="5391" max="5393" width="17.109375" style="32" customWidth="1"/>
    <col min="5394" max="5394" width="12.5546875" style="32" customWidth="1"/>
    <col min="5395" max="5395" width="15.109375" style="32" customWidth="1"/>
    <col min="5396" max="5396" width="12.44140625" style="32" customWidth="1"/>
    <col min="5397" max="5397" width="11.6640625" style="32" customWidth="1"/>
    <col min="5398" max="5398" width="15.77734375" style="32" bestFit="1" customWidth="1"/>
    <col min="5399" max="5399" width="12.33203125" style="32" customWidth="1"/>
    <col min="5400" max="5633" width="9.21875" style="32"/>
    <col min="5634" max="5634" width="2.77734375" style="32" customWidth="1"/>
    <col min="5635" max="5635" width="10.44140625" style="32" customWidth="1"/>
    <col min="5636" max="5636" width="12.44140625" style="32" customWidth="1"/>
    <col min="5637" max="5637" width="9.44140625" style="32" customWidth="1"/>
    <col min="5638" max="5638" width="16.21875" style="32" customWidth="1"/>
    <col min="5639" max="5639" width="27.44140625" style="32" customWidth="1"/>
    <col min="5640" max="5640" width="11.21875" style="32" customWidth="1"/>
    <col min="5641" max="5641" width="4.77734375" style="32" customWidth="1"/>
    <col min="5642" max="5642" width="8.21875" style="32" customWidth="1"/>
    <col min="5643" max="5646" width="14.44140625" style="32" customWidth="1"/>
    <col min="5647" max="5649" width="17.109375" style="32" customWidth="1"/>
    <col min="5650" max="5650" width="12.5546875" style="32" customWidth="1"/>
    <col min="5651" max="5651" width="15.109375" style="32" customWidth="1"/>
    <col min="5652" max="5652" width="12.44140625" style="32" customWidth="1"/>
    <col min="5653" max="5653" width="11.6640625" style="32" customWidth="1"/>
    <col min="5654" max="5654" width="15.77734375" style="32" bestFit="1" customWidth="1"/>
    <col min="5655" max="5655" width="12.33203125" style="32" customWidth="1"/>
    <col min="5656" max="5889" width="9.21875" style="32"/>
    <col min="5890" max="5890" width="2.77734375" style="32" customWidth="1"/>
    <col min="5891" max="5891" width="10.44140625" style="32" customWidth="1"/>
    <col min="5892" max="5892" width="12.44140625" style="32" customWidth="1"/>
    <col min="5893" max="5893" width="9.44140625" style="32" customWidth="1"/>
    <col min="5894" max="5894" width="16.21875" style="32" customWidth="1"/>
    <col min="5895" max="5895" width="27.44140625" style="32" customWidth="1"/>
    <col min="5896" max="5896" width="11.21875" style="32" customWidth="1"/>
    <col min="5897" max="5897" width="4.77734375" style="32" customWidth="1"/>
    <col min="5898" max="5898" width="8.21875" style="32" customWidth="1"/>
    <col min="5899" max="5902" width="14.44140625" style="32" customWidth="1"/>
    <col min="5903" max="5905" width="17.109375" style="32" customWidth="1"/>
    <col min="5906" max="5906" width="12.5546875" style="32" customWidth="1"/>
    <col min="5907" max="5907" width="15.109375" style="32" customWidth="1"/>
    <col min="5908" max="5908" width="12.44140625" style="32" customWidth="1"/>
    <col min="5909" max="5909" width="11.6640625" style="32" customWidth="1"/>
    <col min="5910" max="5910" width="15.77734375" style="32" bestFit="1" customWidth="1"/>
    <col min="5911" max="5911" width="12.33203125" style="32" customWidth="1"/>
    <col min="5912" max="6145" width="9.21875" style="32"/>
    <col min="6146" max="6146" width="2.77734375" style="32" customWidth="1"/>
    <col min="6147" max="6147" width="10.44140625" style="32" customWidth="1"/>
    <col min="6148" max="6148" width="12.44140625" style="32" customWidth="1"/>
    <col min="6149" max="6149" width="9.44140625" style="32" customWidth="1"/>
    <col min="6150" max="6150" width="16.21875" style="32" customWidth="1"/>
    <col min="6151" max="6151" width="27.44140625" style="32" customWidth="1"/>
    <col min="6152" max="6152" width="11.21875" style="32" customWidth="1"/>
    <col min="6153" max="6153" width="4.77734375" style="32" customWidth="1"/>
    <col min="6154" max="6154" width="8.21875" style="32" customWidth="1"/>
    <col min="6155" max="6158" width="14.44140625" style="32" customWidth="1"/>
    <col min="6159" max="6161" width="17.109375" style="32" customWidth="1"/>
    <col min="6162" max="6162" width="12.5546875" style="32" customWidth="1"/>
    <col min="6163" max="6163" width="15.109375" style="32" customWidth="1"/>
    <col min="6164" max="6164" width="12.44140625" style="32" customWidth="1"/>
    <col min="6165" max="6165" width="11.6640625" style="32" customWidth="1"/>
    <col min="6166" max="6166" width="15.77734375" style="32" bestFit="1" customWidth="1"/>
    <col min="6167" max="6167" width="12.33203125" style="32" customWidth="1"/>
    <col min="6168" max="6401" width="9.21875" style="32"/>
    <col min="6402" max="6402" width="2.77734375" style="32" customWidth="1"/>
    <col min="6403" max="6403" width="10.44140625" style="32" customWidth="1"/>
    <col min="6404" max="6404" width="12.44140625" style="32" customWidth="1"/>
    <col min="6405" max="6405" width="9.44140625" style="32" customWidth="1"/>
    <col min="6406" max="6406" width="16.21875" style="32" customWidth="1"/>
    <col min="6407" max="6407" width="27.44140625" style="32" customWidth="1"/>
    <col min="6408" max="6408" width="11.21875" style="32" customWidth="1"/>
    <col min="6409" max="6409" width="4.77734375" style="32" customWidth="1"/>
    <col min="6410" max="6410" width="8.21875" style="32" customWidth="1"/>
    <col min="6411" max="6414" width="14.44140625" style="32" customWidth="1"/>
    <col min="6415" max="6417" width="17.109375" style="32" customWidth="1"/>
    <col min="6418" max="6418" width="12.5546875" style="32" customWidth="1"/>
    <col min="6419" max="6419" width="15.109375" style="32" customWidth="1"/>
    <col min="6420" max="6420" width="12.44140625" style="32" customWidth="1"/>
    <col min="6421" max="6421" width="11.6640625" style="32" customWidth="1"/>
    <col min="6422" max="6422" width="15.77734375" style="32" bestFit="1" customWidth="1"/>
    <col min="6423" max="6423" width="12.33203125" style="32" customWidth="1"/>
    <col min="6424" max="6657" width="9.21875" style="32"/>
    <col min="6658" max="6658" width="2.77734375" style="32" customWidth="1"/>
    <col min="6659" max="6659" width="10.44140625" style="32" customWidth="1"/>
    <col min="6660" max="6660" width="12.44140625" style="32" customWidth="1"/>
    <col min="6661" max="6661" width="9.44140625" style="32" customWidth="1"/>
    <col min="6662" max="6662" width="16.21875" style="32" customWidth="1"/>
    <col min="6663" max="6663" width="27.44140625" style="32" customWidth="1"/>
    <col min="6664" max="6664" width="11.21875" style="32" customWidth="1"/>
    <col min="6665" max="6665" width="4.77734375" style="32" customWidth="1"/>
    <col min="6666" max="6666" width="8.21875" style="32" customWidth="1"/>
    <col min="6667" max="6670" width="14.44140625" style="32" customWidth="1"/>
    <col min="6671" max="6673" width="17.109375" style="32" customWidth="1"/>
    <col min="6674" max="6674" width="12.5546875" style="32" customWidth="1"/>
    <col min="6675" max="6675" width="15.109375" style="32" customWidth="1"/>
    <col min="6676" max="6676" width="12.44140625" style="32" customWidth="1"/>
    <col min="6677" max="6677" width="11.6640625" style="32" customWidth="1"/>
    <col min="6678" max="6678" width="15.77734375" style="32" bestFit="1" customWidth="1"/>
    <col min="6679" max="6679" width="12.33203125" style="32" customWidth="1"/>
    <col min="6680" max="6913" width="9.21875" style="32"/>
    <col min="6914" max="6914" width="2.77734375" style="32" customWidth="1"/>
    <col min="6915" max="6915" width="10.44140625" style="32" customWidth="1"/>
    <col min="6916" max="6916" width="12.44140625" style="32" customWidth="1"/>
    <col min="6917" max="6917" width="9.44140625" style="32" customWidth="1"/>
    <col min="6918" max="6918" width="16.21875" style="32" customWidth="1"/>
    <col min="6919" max="6919" width="27.44140625" style="32" customWidth="1"/>
    <col min="6920" max="6920" width="11.21875" style="32" customWidth="1"/>
    <col min="6921" max="6921" width="4.77734375" style="32" customWidth="1"/>
    <col min="6922" max="6922" width="8.21875" style="32" customWidth="1"/>
    <col min="6923" max="6926" width="14.44140625" style="32" customWidth="1"/>
    <col min="6927" max="6929" width="17.109375" style="32" customWidth="1"/>
    <col min="6930" max="6930" width="12.5546875" style="32" customWidth="1"/>
    <col min="6931" max="6931" width="15.109375" style="32" customWidth="1"/>
    <col min="6932" max="6932" width="12.44140625" style="32" customWidth="1"/>
    <col min="6933" max="6933" width="11.6640625" style="32" customWidth="1"/>
    <col min="6934" max="6934" width="15.77734375" style="32" bestFit="1" customWidth="1"/>
    <col min="6935" max="6935" width="12.33203125" style="32" customWidth="1"/>
    <col min="6936" max="7169" width="9.21875" style="32"/>
    <col min="7170" max="7170" width="2.77734375" style="32" customWidth="1"/>
    <col min="7171" max="7171" width="10.44140625" style="32" customWidth="1"/>
    <col min="7172" max="7172" width="12.44140625" style="32" customWidth="1"/>
    <col min="7173" max="7173" width="9.44140625" style="32" customWidth="1"/>
    <col min="7174" max="7174" width="16.21875" style="32" customWidth="1"/>
    <col min="7175" max="7175" width="27.44140625" style="32" customWidth="1"/>
    <col min="7176" max="7176" width="11.21875" style="32" customWidth="1"/>
    <col min="7177" max="7177" width="4.77734375" style="32" customWidth="1"/>
    <col min="7178" max="7178" width="8.21875" style="32" customWidth="1"/>
    <col min="7179" max="7182" width="14.44140625" style="32" customWidth="1"/>
    <col min="7183" max="7185" width="17.109375" style="32" customWidth="1"/>
    <col min="7186" max="7186" width="12.5546875" style="32" customWidth="1"/>
    <col min="7187" max="7187" width="15.109375" style="32" customWidth="1"/>
    <col min="7188" max="7188" width="12.44140625" style="32" customWidth="1"/>
    <col min="7189" max="7189" width="11.6640625" style="32" customWidth="1"/>
    <col min="7190" max="7190" width="15.77734375" style="32" bestFit="1" customWidth="1"/>
    <col min="7191" max="7191" width="12.33203125" style="32" customWidth="1"/>
    <col min="7192" max="7425" width="9.21875" style="32"/>
    <col min="7426" max="7426" width="2.77734375" style="32" customWidth="1"/>
    <col min="7427" max="7427" width="10.44140625" style="32" customWidth="1"/>
    <col min="7428" max="7428" width="12.44140625" style="32" customWidth="1"/>
    <col min="7429" max="7429" width="9.44140625" style="32" customWidth="1"/>
    <col min="7430" max="7430" width="16.21875" style="32" customWidth="1"/>
    <col min="7431" max="7431" width="27.44140625" style="32" customWidth="1"/>
    <col min="7432" max="7432" width="11.21875" style="32" customWidth="1"/>
    <col min="7433" max="7433" width="4.77734375" style="32" customWidth="1"/>
    <col min="7434" max="7434" width="8.21875" style="32" customWidth="1"/>
    <col min="7435" max="7438" width="14.44140625" style="32" customWidth="1"/>
    <col min="7439" max="7441" width="17.109375" style="32" customWidth="1"/>
    <col min="7442" max="7442" width="12.5546875" style="32" customWidth="1"/>
    <col min="7443" max="7443" width="15.109375" style="32" customWidth="1"/>
    <col min="7444" max="7444" width="12.44140625" style="32" customWidth="1"/>
    <col min="7445" max="7445" width="11.6640625" style="32" customWidth="1"/>
    <col min="7446" max="7446" width="15.77734375" style="32" bestFit="1" customWidth="1"/>
    <col min="7447" max="7447" width="12.33203125" style="32" customWidth="1"/>
    <col min="7448" max="7681" width="9.21875" style="32"/>
    <col min="7682" max="7682" width="2.77734375" style="32" customWidth="1"/>
    <col min="7683" max="7683" width="10.44140625" style="32" customWidth="1"/>
    <col min="7684" max="7684" width="12.44140625" style="32" customWidth="1"/>
    <col min="7685" max="7685" width="9.44140625" style="32" customWidth="1"/>
    <col min="7686" max="7686" width="16.21875" style="32" customWidth="1"/>
    <col min="7687" max="7687" width="27.44140625" style="32" customWidth="1"/>
    <col min="7688" max="7688" width="11.21875" style="32" customWidth="1"/>
    <col min="7689" max="7689" width="4.77734375" style="32" customWidth="1"/>
    <col min="7690" max="7690" width="8.21875" style="32" customWidth="1"/>
    <col min="7691" max="7694" width="14.44140625" style="32" customWidth="1"/>
    <col min="7695" max="7697" width="17.109375" style="32" customWidth="1"/>
    <col min="7698" max="7698" width="12.5546875" style="32" customWidth="1"/>
    <col min="7699" max="7699" width="15.109375" style="32" customWidth="1"/>
    <col min="7700" max="7700" width="12.44140625" style="32" customWidth="1"/>
    <col min="7701" max="7701" width="11.6640625" style="32" customWidth="1"/>
    <col min="7702" max="7702" width="15.77734375" style="32" bestFit="1" customWidth="1"/>
    <col min="7703" max="7703" width="12.33203125" style="32" customWidth="1"/>
    <col min="7704" max="7937" width="9.21875" style="32"/>
    <col min="7938" max="7938" width="2.77734375" style="32" customWidth="1"/>
    <col min="7939" max="7939" width="10.44140625" style="32" customWidth="1"/>
    <col min="7940" max="7940" width="12.44140625" style="32" customWidth="1"/>
    <col min="7941" max="7941" width="9.44140625" style="32" customWidth="1"/>
    <col min="7942" max="7942" width="16.21875" style="32" customWidth="1"/>
    <col min="7943" max="7943" width="27.44140625" style="32" customWidth="1"/>
    <col min="7944" max="7944" width="11.21875" style="32" customWidth="1"/>
    <col min="7945" max="7945" width="4.77734375" style="32" customWidth="1"/>
    <col min="7946" max="7946" width="8.21875" style="32" customWidth="1"/>
    <col min="7947" max="7950" width="14.44140625" style="32" customWidth="1"/>
    <col min="7951" max="7953" width="17.109375" style="32" customWidth="1"/>
    <col min="7954" max="7954" width="12.5546875" style="32" customWidth="1"/>
    <col min="7955" max="7955" width="15.109375" style="32" customWidth="1"/>
    <col min="7956" max="7956" width="12.44140625" style="32" customWidth="1"/>
    <col min="7957" max="7957" width="11.6640625" style="32" customWidth="1"/>
    <col min="7958" max="7958" width="15.77734375" style="32" bestFit="1" customWidth="1"/>
    <col min="7959" max="7959" width="12.33203125" style="32" customWidth="1"/>
    <col min="7960" max="8193" width="9.21875" style="32"/>
    <col min="8194" max="8194" width="2.77734375" style="32" customWidth="1"/>
    <col min="8195" max="8195" width="10.44140625" style="32" customWidth="1"/>
    <col min="8196" max="8196" width="12.44140625" style="32" customWidth="1"/>
    <col min="8197" max="8197" width="9.44140625" style="32" customWidth="1"/>
    <col min="8198" max="8198" width="16.21875" style="32" customWidth="1"/>
    <col min="8199" max="8199" width="27.44140625" style="32" customWidth="1"/>
    <col min="8200" max="8200" width="11.21875" style="32" customWidth="1"/>
    <col min="8201" max="8201" width="4.77734375" style="32" customWidth="1"/>
    <col min="8202" max="8202" width="8.21875" style="32" customWidth="1"/>
    <col min="8203" max="8206" width="14.44140625" style="32" customWidth="1"/>
    <col min="8207" max="8209" width="17.109375" style="32" customWidth="1"/>
    <col min="8210" max="8210" width="12.5546875" style="32" customWidth="1"/>
    <col min="8211" max="8211" width="15.109375" style="32" customWidth="1"/>
    <col min="8212" max="8212" width="12.44140625" style="32" customWidth="1"/>
    <col min="8213" max="8213" width="11.6640625" style="32" customWidth="1"/>
    <col min="8214" max="8214" width="15.77734375" style="32" bestFit="1" customWidth="1"/>
    <col min="8215" max="8215" width="12.33203125" style="32" customWidth="1"/>
    <col min="8216" max="8449" width="9.21875" style="32"/>
    <col min="8450" max="8450" width="2.77734375" style="32" customWidth="1"/>
    <col min="8451" max="8451" width="10.44140625" style="32" customWidth="1"/>
    <col min="8452" max="8452" width="12.44140625" style="32" customWidth="1"/>
    <col min="8453" max="8453" width="9.44140625" style="32" customWidth="1"/>
    <col min="8454" max="8454" width="16.21875" style="32" customWidth="1"/>
    <col min="8455" max="8455" width="27.44140625" style="32" customWidth="1"/>
    <col min="8456" max="8456" width="11.21875" style="32" customWidth="1"/>
    <col min="8457" max="8457" width="4.77734375" style="32" customWidth="1"/>
    <col min="8458" max="8458" width="8.21875" style="32" customWidth="1"/>
    <col min="8459" max="8462" width="14.44140625" style="32" customWidth="1"/>
    <col min="8463" max="8465" width="17.109375" style="32" customWidth="1"/>
    <col min="8466" max="8466" width="12.5546875" style="32" customWidth="1"/>
    <col min="8467" max="8467" width="15.109375" style="32" customWidth="1"/>
    <col min="8468" max="8468" width="12.44140625" style="32" customWidth="1"/>
    <col min="8469" max="8469" width="11.6640625" style="32" customWidth="1"/>
    <col min="8470" max="8470" width="15.77734375" style="32" bestFit="1" customWidth="1"/>
    <col min="8471" max="8471" width="12.33203125" style="32" customWidth="1"/>
    <col min="8472" max="8705" width="9.21875" style="32"/>
    <col min="8706" max="8706" width="2.77734375" style="32" customWidth="1"/>
    <col min="8707" max="8707" width="10.44140625" style="32" customWidth="1"/>
    <col min="8708" max="8708" width="12.44140625" style="32" customWidth="1"/>
    <col min="8709" max="8709" width="9.44140625" style="32" customWidth="1"/>
    <col min="8710" max="8710" width="16.21875" style="32" customWidth="1"/>
    <col min="8711" max="8711" width="27.44140625" style="32" customWidth="1"/>
    <col min="8712" max="8712" width="11.21875" style="32" customWidth="1"/>
    <col min="8713" max="8713" width="4.77734375" style="32" customWidth="1"/>
    <col min="8714" max="8714" width="8.21875" style="32" customWidth="1"/>
    <col min="8715" max="8718" width="14.44140625" style="32" customWidth="1"/>
    <col min="8719" max="8721" width="17.109375" style="32" customWidth="1"/>
    <col min="8722" max="8722" width="12.5546875" style="32" customWidth="1"/>
    <col min="8723" max="8723" width="15.109375" style="32" customWidth="1"/>
    <col min="8724" max="8724" width="12.44140625" style="32" customWidth="1"/>
    <col min="8725" max="8725" width="11.6640625" style="32" customWidth="1"/>
    <col min="8726" max="8726" width="15.77734375" style="32" bestFit="1" customWidth="1"/>
    <col min="8727" max="8727" width="12.33203125" style="32" customWidth="1"/>
    <col min="8728" max="8961" width="9.21875" style="32"/>
    <col min="8962" max="8962" width="2.77734375" style="32" customWidth="1"/>
    <col min="8963" max="8963" width="10.44140625" style="32" customWidth="1"/>
    <col min="8964" max="8964" width="12.44140625" style="32" customWidth="1"/>
    <col min="8965" max="8965" width="9.44140625" style="32" customWidth="1"/>
    <col min="8966" max="8966" width="16.21875" style="32" customWidth="1"/>
    <col min="8967" max="8967" width="27.44140625" style="32" customWidth="1"/>
    <col min="8968" max="8968" width="11.21875" style="32" customWidth="1"/>
    <col min="8969" max="8969" width="4.77734375" style="32" customWidth="1"/>
    <col min="8970" max="8970" width="8.21875" style="32" customWidth="1"/>
    <col min="8971" max="8974" width="14.44140625" style="32" customWidth="1"/>
    <col min="8975" max="8977" width="17.109375" style="32" customWidth="1"/>
    <col min="8978" max="8978" width="12.5546875" style="32" customWidth="1"/>
    <col min="8979" max="8979" width="15.109375" style="32" customWidth="1"/>
    <col min="8980" max="8980" width="12.44140625" style="32" customWidth="1"/>
    <col min="8981" max="8981" width="11.6640625" style="32" customWidth="1"/>
    <col min="8982" max="8982" width="15.77734375" style="32" bestFit="1" customWidth="1"/>
    <col min="8983" max="8983" width="12.33203125" style="32" customWidth="1"/>
    <col min="8984" max="9217" width="9.21875" style="32"/>
    <col min="9218" max="9218" width="2.77734375" style="32" customWidth="1"/>
    <col min="9219" max="9219" width="10.44140625" style="32" customWidth="1"/>
    <col min="9220" max="9220" width="12.44140625" style="32" customWidth="1"/>
    <col min="9221" max="9221" width="9.44140625" style="32" customWidth="1"/>
    <col min="9222" max="9222" width="16.21875" style="32" customWidth="1"/>
    <col min="9223" max="9223" width="27.44140625" style="32" customWidth="1"/>
    <col min="9224" max="9224" width="11.21875" style="32" customWidth="1"/>
    <col min="9225" max="9225" width="4.77734375" style="32" customWidth="1"/>
    <col min="9226" max="9226" width="8.21875" style="32" customWidth="1"/>
    <col min="9227" max="9230" width="14.44140625" style="32" customWidth="1"/>
    <col min="9231" max="9233" width="17.109375" style="32" customWidth="1"/>
    <col min="9234" max="9234" width="12.5546875" style="32" customWidth="1"/>
    <col min="9235" max="9235" width="15.109375" style="32" customWidth="1"/>
    <col min="9236" max="9236" width="12.44140625" style="32" customWidth="1"/>
    <col min="9237" max="9237" width="11.6640625" style="32" customWidth="1"/>
    <col min="9238" max="9238" width="15.77734375" style="32" bestFit="1" customWidth="1"/>
    <col min="9239" max="9239" width="12.33203125" style="32" customWidth="1"/>
    <col min="9240" max="9473" width="9.21875" style="32"/>
    <col min="9474" max="9474" width="2.77734375" style="32" customWidth="1"/>
    <col min="9475" max="9475" width="10.44140625" style="32" customWidth="1"/>
    <col min="9476" max="9476" width="12.44140625" style="32" customWidth="1"/>
    <col min="9477" max="9477" width="9.44140625" style="32" customWidth="1"/>
    <col min="9478" max="9478" width="16.21875" style="32" customWidth="1"/>
    <col min="9479" max="9479" width="27.44140625" style="32" customWidth="1"/>
    <col min="9480" max="9480" width="11.21875" style="32" customWidth="1"/>
    <col min="9481" max="9481" width="4.77734375" style="32" customWidth="1"/>
    <col min="9482" max="9482" width="8.21875" style="32" customWidth="1"/>
    <col min="9483" max="9486" width="14.44140625" style="32" customWidth="1"/>
    <col min="9487" max="9489" width="17.109375" style="32" customWidth="1"/>
    <col min="9490" max="9490" width="12.5546875" style="32" customWidth="1"/>
    <col min="9491" max="9491" width="15.109375" style="32" customWidth="1"/>
    <col min="9492" max="9492" width="12.44140625" style="32" customWidth="1"/>
    <col min="9493" max="9493" width="11.6640625" style="32" customWidth="1"/>
    <col min="9494" max="9494" width="15.77734375" style="32" bestFit="1" customWidth="1"/>
    <col min="9495" max="9495" width="12.33203125" style="32" customWidth="1"/>
    <col min="9496" max="9729" width="9.21875" style="32"/>
    <col min="9730" max="9730" width="2.77734375" style="32" customWidth="1"/>
    <col min="9731" max="9731" width="10.44140625" style="32" customWidth="1"/>
    <col min="9732" max="9732" width="12.44140625" style="32" customWidth="1"/>
    <col min="9733" max="9733" width="9.44140625" style="32" customWidth="1"/>
    <col min="9734" max="9734" width="16.21875" style="32" customWidth="1"/>
    <col min="9735" max="9735" width="27.44140625" style="32" customWidth="1"/>
    <col min="9736" max="9736" width="11.21875" style="32" customWidth="1"/>
    <col min="9737" max="9737" width="4.77734375" style="32" customWidth="1"/>
    <col min="9738" max="9738" width="8.21875" style="32" customWidth="1"/>
    <col min="9739" max="9742" width="14.44140625" style="32" customWidth="1"/>
    <col min="9743" max="9745" width="17.109375" style="32" customWidth="1"/>
    <col min="9746" max="9746" width="12.5546875" style="32" customWidth="1"/>
    <col min="9747" max="9747" width="15.109375" style="32" customWidth="1"/>
    <col min="9748" max="9748" width="12.44140625" style="32" customWidth="1"/>
    <col min="9749" max="9749" width="11.6640625" style="32" customWidth="1"/>
    <col min="9750" max="9750" width="15.77734375" style="32" bestFit="1" customWidth="1"/>
    <col min="9751" max="9751" width="12.33203125" style="32" customWidth="1"/>
    <col min="9752" max="9985" width="9.21875" style="32"/>
    <col min="9986" max="9986" width="2.77734375" style="32" customWidth="1"/>
    <col min="9987" max="9987" width="10.44140625" style="32" customWidth="1"/>
    <col min="9988" max="9988" width="12.44140625" style="32" customWidth="1"/>
    <col min="9989" max="9989" width="9.44140625" style="32" customWidth="1"/>
    <col min="9990" max="9990" width="16.21875" style="32" customWidth="1"/>
    <col min="9991" max="9991" width="27.44140625" style="32" customWidth="1"/>
    <col min="9992" max="9992" width="11.21875" style="32" customWidth="1"/>
    <col min="9993" max="9993" width="4.77734375" style="32" customWidth="1"/>
    <col min="9994" max="9994" width="8.21875" style="32" customWidth="1"/>
    <col min="9995" max="9998" width="14.44140625" style="32" customWidth="1"/>
    <col min="9999" max="10001" width="17.109375" style="32" customWidth="1"/>
    <col min="10002" max="10002" width="12.5546875" style="32" customWidth="1"/>
    <col min="10003" max="10003" width="15.109375" style="32" customWidth="1"/>
    <col min="10004" max="10004" width="12.44140625" style="32" customWidth="1"/>
    <col min="10005" max="10005" width="11.6640625" style="32" customWidth="1"/>
    <col min="10006" max="10006" width="15.77734375" style="32" bestFit="1" customWidth="1"/>
    <col min="10007" max="10007" width="12.33203125" style="32" customWidth="1"/>
    <col min="10008" max="10241" width="9.21875" style="32"/>
    <col min="10242" max="10242" width="2.77734375" style="32" customWidth="1"/>
    <col min="10243" max="10243" width="10.44140625" style="32" customWidth="1"/>
    <col min="10244" max="10244" width="12.44140625" style="32" customWidth="1"/>
    <col min="10245" max="10245" width="9.44140625" style="32" customWidth="1"/>
    <col min="10246" max="10246" width="16.21875" style="32" customWidth="1"/>
    <col min="10247" max="10247" width="27.44140625" style="32" customWidth="1"/>
    <col min="10248" max="10248" width="11.21875" style="32" customWidth="1"/>
    <col min="10249" max="10249" width="4.77734375" style="32" customWidth="1"/>
    <col min="10250" max="10250" width="8.21875" style="32" customWidth="1"/>
    <col min="10251" max="10254" width="14.44140625" style="32" customWidth="1"/>
    <col min="10255" max="10257" width="17.109375" style="32" customWidth="1"/>
    <col min="10258" max="10258" width="12.5546875" style="32" customWidth="1"/>
    <col min="10259" max="10259" width="15.109375" style="32" customWidth="1"/>
    <col min="10260" max="10260" width="12.44140625" style="32" customWidth="1"/>
    <col min="10261" max="10261" width="11.6640625" style="32" customWidth="1"/>
    <col min="10262" max="10262" width="15.77734375" style="32" bestFit="1" customWidth="1"/>
    <col min="10263" max="10263" width="12.33203125" style="32" customWidth="1"/>
    <col min="10264" max="10497" width="9.21875" style="32"/>
    <col min="10498" max="10498" width="2.77734375" style="32" customWidth="1"/>
    <col min="10499" max="10499" width="10.44140625" style="32" customWidth="1"/>
    <col min="10500" max="10500" width="12.44140625" style="32" customWidth="1"/>
    <col min="10501" max="10501" width="9.44140625" style="32" customWidth="1"/>
    <col min="10502" max="10502" width="16.21875" style="32" customWidth="1"/>
    <col min="10503" max="10503" width="27.44140625" style="32" customWidth="1"/>
    <col min="10504" max="10504" width="11.21875" style="32" customWidth="1"/>
    <col min="10505" max="10505" width="4.77734375" style="32" customWidth="1"/>
    <col min="10506" max="10506" width="8.21875" style="32" customWidth="1"/>
    <col min="10507" max="10510" width="14.44140625" style="32" customWidth="1"/>
    <col min="10511" max="10513" width="17.109375" style="32" customWidth="1"/>
    <col min="10514" max="10514" width="12.5546875" style="32" customWidth="1"/>
    <col min="10515" max="10515" width="15.109375" style="32" customWidth="1"/>
    <col min="10516" max="10516" width="12.44140625" style="32" customWidth="1"/>
    <col min="10517" max="10517" width="11.6640625" style="32" customWidth="1"/>
    <col min="10518" max="10518" width="15.77734375" style="32" bestFit="1" customWidth="1"/>
    <col min="10519" max="10519" width="12.33203125" style="32" customWidth="1"/>
    <col min="10520" max="10753" width="9.21875" style="32"/>
    <col min="10754" max="10754" width="2.77734375" style="32" customWidth="1"/>
    <col min="10755" max="10755" width="10.44140625" style="32" customWidth="1"/>
    <col min="10756" max="10756" width="12.44140625" style="32" customWidth="1"/>
    <col min="10757" max="10757" width="9.44140625" style="32" customWidth="1"/>
    <col min="10758" max="10758" width="16.21875" style="32" customWidth="1"/>
    <col min="10759" max="10759" width="27.44140625" style="32" customWidth="1"/>
    <col min="10760" max="10760" width="11.21875" style="32" customWidth="1"/>
    <col min="10761" max="10761" width="4.77734375" style="32" customWidth="1"/>
    <col min="10762" max="10762" width="8.21875" style="32" customWidth="1"/>
    <col min="10763" max="10766" width="14.44140625" style="32" customWidth="1"/>
    <col min="10767" max="10769" width="17.109375" style="32" customWidth="1"/>
    <col min="10770" max="10770" width="12.5546875" style="32" customWidth="1"/>
    <col min="10771" max="10771" width="15.109375" style="32" customWidth="1"/>
    <col min="10772" max="10772" width="12.44140625" style="32" customWidth="1"/>
    <col min="10773" max="10773" width="11.6640625" style="32" customWidth="1"/>
    <col min="10774" max="10774" width="15.77734375" style="32" bestFit="1" customWidth="1"/>
    <col min="10775" max="10775" width="12.33203125" style="32" customWidth="1"/>
    <col min="10776" max="11009" width="9.21875" style="32"/>
    <col min="11010" max="11010" width="2.77734375" style="32" customWidth="1"/>
    <col min="11011" max="11011" width="10.44140625" style="32" customWidth="1"/>
    <col min="11012" max="11012" width="12.44140625" style="32" customWidth="1"/>
    <col min="11013" max="11013" width="9.44140625" style="32" customWidth="1"/>
    <col min="11014" max="11014" width="16.21875" style="32" customWidth="1"/>
    <col min="11015" max="11015" width="27.44140625" style="32" customWidth="1"/>
    <col min="11016" max="11016" width="11.21875" style="32" customWidth="1"/>
    <col min="11017" max="11017" width="4.77734375" style="32" customWidth="1"/>
    <col min="11018" max="11018" width="8.21875" style="32" customWidth="1"/>
    <col min="11019" max="11022" width="14.44140625" style="32" customWidth="1"/>
    <col min="11023" max="11025" width="17.109375" style="32" customWidth="1"/>
    <col min="11026" max="11026" width="12.5546875" style="32" customWidth="1"/>
    <col min="11027" max="11027" width="15.109375" style="32" customWidth="1"/>
    <col min="11028" max="11028" width="12.44140625" style="32" customWidth="1"/>
    <col min="11029" max="11029" width="11.6640625" style="32" customWidth="1"/>
    <col min="11030" max="11030" width="15.77734375" style="32" bestFit="1" customWidth="1"/>
    <col min="11031" max="11031" width="12.33203125" style="32" customWidth="1"/>
    <col min="11032" max="11265" width="9.21875" style="32"/>
    <col min="11266" max="11266" width="2.77734375" style="32" customWidth="1"/>
    <col min="11267" max="11267" width="10.44140625" style="32" customWidth="1"/>
    <col min="11268" max="11268" width="12.44140625" style="32" customWidth="1"/>
    <col min="11269" max="11269" width="9.44140625" style="32" customWidth="1"/>
    <col min="11270" max="11270" width="16.21875" style="32" customWidth="1"/>
    <col min="11271" max="11271" width="27.44140625" style="32" customWidth="1"/>
    <col min="11272" max="11272" width="11.21875" style="32" customWidth="1"/>
    <col min="11273" max="11273" width="4.77734375" style="32" customWidth="1"/>
    <col min="11274" max="11274" width="8.21875" style="32" customWidth="1"/>
    <col min="11275" max="11278" width="14.44140625" style="32" customWidth="1"/>
    <col min="11279" max="11281" width="17.109375" style="32" customWidth="1"/>
    <col min="11282" max="11282" width="12.5546875" style="32" customWidth="1"/>
    <col min="11283" max="11283" width="15.109375" style="32" customWidth="1"/>
    <col min="11284" max="11284" width="12.44140625" style="32" customWidth="1"/>
    <col min="11285" max="11285" width="11.6640625" style="32" customWidth="1"/>
    <col min="11286" max="11286" width="15.77734375" style="32" bestFit="1" customWidth="1"/>
    <col min="11287" max="11287" width="12.33203125" style="32" customWidth="1"/>
    <col min="11288" max="11521" width="9.21875" style="32"/>
    <col min="11522" max="11522" width="2.77734375" style="32" customWidth="1"/>
    <col min="11523" max="11523" width="10.44140625" style="32" customWidth="1"/>
    <col min="11524" max="11524" width="12.44140625" style="32" customWidth="1"/>
    <col min="11525" max="11525" width="9.44140625" style="32" customWidth="1"/>
    <col min="11526" max="11526" width="16.21875" style="32" customWidth="1"/>
    <col min="11527" max="11527" width="27.44140625" style="32" customWidth="1"/>
    <col min="11528" max="11528" width="11.21875" style="32" customWidth="1"/>
    <col min="11529" max="11529" width="4.77734375" style="32" customWidth="1"/>
    <col min="11530" max="11530" width="8.21875" style="32" customWidth="1"/>
    <col min="11531" max="11534" width="14.44140625" style="32" customWidth="1"/>
    <col min="11535" max="11537" width="17.109375" style="32" customWidth="1"/>
    <col min="11538" max="11538" width="12.5546875" style="32" customWidth="1"/>
    <col min="11539" max="11539" width="15.109375" style="32" customWidth="1"/>
    <col min="11540" max="11540" width="12.44140625" style="32" customWidth="1"/>
    <col min="11541" max="11541" width="11.6640625" style="32" customWidth="1"/>
    <col min="11542" max="11542" width="15.77734375" style="32" bestFit="1" customWidth="1"/>
    <col min="11543" max="11543" width="12.33203125" style="32" customWidth="1"/>
    <col min="11544" max="11777" width="9.21875" style="32"/>
    <col min="11778" max="11778" width="2.77734375" style="32" customWidth="1"/>
    <col min="11779" max="11779" width="10.44140625" style="32" customWidth="1"/>
    <col min="11780" max="11780" width="12.44140625" style="32" customWidth="1"/>
    <col min="11781" max="11781" width="9.44140625" style="32" customWidth="1"/>
    <col min="11782" max="11782" width="16.21875" style="32" customWidth="1"/>
    <col min="11783" max="11783" width="27.44140625" style="32" customWidth="1"/>
    <col min="11784" max="11784" width="11.21875" style="32" customWidth="1"/>
    <col min="11785" max="11785" width="4.77734375" style="32" customWidth="1"/>
    <col min="11786" max="11786" width="8.21875" style="32" customWidth="1"/>
    <col min="11787" max="11790" width="14.44140625" style="32" customWidth="1"/>
    <col min="11791" max="11793" width="17.109375" style="32" customWidth="1"/>
    <col min="11794" max="11794" width="12.5546875" style="32" customWidth="1"/>
    <col min="11795" max="11795" width="15.109375" style="32" customWidth="1"/>
    <col min="11796" max="11796" width="12.44140625" style="32" customWidth="1"/>
    <col min="11797" max="11797" width="11.6640625" style="32" customWidth="1"/>
    <col min="11798" max="11798" width="15.77734375" style="32" bestFit="1" customWidth="1"/>
    <col min="11799" max="11799" width="12.33203125" style="32" customWidth="1"/>
    <col min="11800" max="12033" width="9.21875" style="32"/>
    <col min="12034" max="12034" width="2.77734375" style="32" customWidth="1"/>
    <col min="12035" max="12035" width="10.44140625" style="32" customWidth="1"/>
    <col min="12036" max="12036" width="12.44140625" style="32" customWidth="1"/>
    <col min="12037" max="12037" width="9.44140625" style="32" customWidth="1"/>
    <col min="12038" max="12038" width="16.21875" style="32" customWidth="1"/>
    <col min="12039" max="12039" width="27.44140625" style="32" customWidth="1"/>
    <col min="12040" max="12040" width="11.21875" style="32" customWidth="1"/>
    <col min="12041" max="12041" width="4.77734375" style="32" customWidth="1"/>
    <col min="12042" max="12042" width="8.21875" style="32" customWidth="1"/>
    <col min="12043" max="12046" width="14.44140625" style="32" customWidth="1"/>
    <col min="12047" max="12049" width="17.109375" style="32" customWidth="1"/>
    <col min="12050" max="12050" width="12.5546875" style="32" customWidth="1"/>
    <col min="12051" max="12051" width="15.109375" style="32" customWidth="1"/>
    <col min="12052" max="12052" width="12.44140625" style="32" customWidth="1"/>
    <col min="12053" max="12053" width="11.6640625" style="32" customWidth="1"/>
    <col min="12054" max="12054" width="15.77734375" style="32" bestFit="1" customWidth="1"/>
    <col min="12055" max="12055" width="12.33203125" style="32" customWidth="1"/>
    <col min="12056" max="12289" width="9.21875" style="32"/>
    <col min="12290" max="12290" width="2.77734375" style="32" customWidth="1"/>
    <col min="12291" max="12291" width="10.44140625" style="32" customWidth="1"/>
    <col min="12292" max="12292" width="12.44140625" style="32" customWidth="1"/>
    <col min="12293" max="12293" width="9.44140625" style="32" customWidth="1"/>
    <col min="12294" max="12294" width="16.21875" style="32" customWidth="1"/>
    <col min="12295" max="12295" width="27.44140625" style="32" customWidth="1"/>
    <col min="12296" max="12296" width="11.21875" style="32" customWidth="1"/>
    <col min="12297" max="12297" width="4.77734375" style="32" customWidth="1"/>
    <col min="12298" max="12298" width="8.21875" style="32" customWidth="1"/>
    <col min="12299" max="12302" width="14.44140625" style="32" customWidth="1"/>
    <col min="12303" max="12305" width="17.109375" style="32" customWidth="1"/>
    <col min="12306" max="12306" width="12.5546875" style="32" customWidth="1"/>
    <col min="12307" max="12307" width="15.109375" style="32" customWidth="1"/>
    <col min="12308" max="12308" width="12.44140625" style="32" customWidth="1"/>
    <col min="12309" max="12309" width="11.6640625" style="32" customWidth="1"/>
    <col min="12310" max="12310" width="15.77734375" style="32" bestFit="1" customWidth="1"/>
    <col min="12311" max="12311" width="12.33203125" style="32" customWidth="1"/>
    <col min="12312" max="12545" width="9.21875" style="32"/>
    <col min="12546" max="12546" width="2.77734375" style="32" customWidth="1"/>
    <col min="12547" max="12547" width="10.44140625" style="32" customWidth="1"/>
    <col min="12548" max="12548" width="12.44140625" style="32" customWidth="1"/>
    <col min="12549" max="12549" width="9.44140625" style="32" customWidth="1"/>
    <col min="12550" max="12550" width="16.21875" style="32" customWidth="1"/>
    <col min="12551" max="12551" width="27.44140625" style="32" customWidth="1"/>
    <col min="12552" max="12552" width="11.21875" style="32" customWidth="1"/>
    <col min="12553" max="12553" width="4.77734375" style="32" customWidth="1"/>
    <col min="12554" max="12554" width="8.21875" style="32" customWidth="1"/>
    <col min="12555" max="12558" width="14.44140625" style="32" customWidth="1"/>
    <col min="12559" max="12561" width="17.109375" style="32" customWidth="1"/>
    <col min="12562" max="12562" width="12.5546875" style="32" customWidth="1"/>
    <col min="12563" max="12563" width="15.109375" style="32" customWidth="1"/>
    <col min="12564" max="12564" width="12.44140625" style="32" customWidth="1"/>
    <col min="12565" max="12565" width="11.6640625" style="32" customWidth="1"/>
    <col min="12566" max="12566" width="15.77734375" style="32" bestFit="1" customWidth="1"/>
    <col min="12567" max="12567" width="12.33203125" style="32" customWidth="1"/>
    <col min="12568" max="12801" width="9.21875" style="32"/>
    <col min="12802" max="12802" width="2.77734375" style="32" customWidth="1"/>
    <col min="12803" max="12803" width="10.44140625" style="32" customWidth="1"/>
    <col min="12804" max="12804" width="12.44140625" style="32" customWidth="1"/>
    <col min="12805" max="12805" width="9.44140625" style="32" customWidth="1"/>
    <col min="12806" max="12806" width="16.21875" style="32" customWidth="1"/>
    <col min="12807" max="12807" width="27.44140625" style="32" customWidth="1"/>
    <col min="12808" max="12808" width="11.21875" style="32" customWidth="1"/>
    <col min="12809" max="12809" width="4.77734375" style="32" customWidth="1"/>
    <col min="12810" max="12810" width="8.21875" style="32" customWidth="1"/>
    <col min="12811" max="12814" width="14.44140625" style="32" customWidth="1"/>
    <col min="12815" max="12817" width="17.109375" style="32" customWidth="1"/>
    <col min="12818" max="12818" width="12.5546875" style="32" customWidth="1"/>
    <col min="12819" max="12819" width="15.109375" style="32" customWidth="1"/>
    <col min="12820" max="12820" width="12.44140625" style="32" customWidth="1"/>
    <col min="12821" max="12821" width="11.6640625" style="32" customWidth="1"/>
    <col min="12822" max="12822" width="15.77734375" style="32" bestFit="1" customWidth="1"/>
    <col min="12823" max="12823" width="12.33203125" style="32" customWidth="1"/>
    <col min="12824" max="13057" width="9.21875" style="32"/>
    <col min="13058" max="13058" width="2.77734375" style="32" customWidth="1"/>
    <col min="13059" max="13059" width="10.44140625" style="32" customWidth="1"/>
    <col min="13060" max="13060" width="12.44140625" style="32" customWidth="1"/>
    <col min="13061" max="13061" width="9.44140625" style="32" customWidth="1"/>
    <col min="13062" max="13062" width="16.21875" style="32" customWidth="1"/>
    <col min="13063" max="13063" width="27.44140625" style="32" customWidth="1"/>
    <col min="13064" max="13064" width="11.21875" style="32" customWidth="1"/>
    <col min="13065" max="13065" width="4.77734375" style="32" customWidth="1"/>
    <col min="13066" max="13066" width="8.21875" style="32" customWidth="1"/>
    <col min="13067" max="13070" width="14.44140625" style="32" customWidth="1"/>
    <col min="13071" max="13073" width="17.109375" style="32" customWidth="1"/>
    <col min="13074" max="13074" width="12.5546875" style="32" customWidth="1"/>
    <col min="13075" max="13075" width="15.109375" style="32" customWidth="1"/>
    <col min="13076" max="13076" width="12.44140625" style="32" customWidth="1"/>
    <col min="13077" max="13077" width="11.6640625" style="32" customWidth="1"/>
    <col min="13078" max="13078" width="15.77734375" style="32" bestFit="1" customWidth="1"/>
    <col min="13079" max="13079" width="12.33203125" style="32" customWidth="1"/>
    <col min="13080" max="13313" width="9.21875" style="32"/>
    <col min="13314" max="13314" width="2.77734375" style="32" customWidth="1"/>
    <col min="13315" max="13315" width="10.44140625" style="32" customWidth="1"/>
    <col min="13316" max="13316" width="12.44140625" style="32" customWidth="1"/>
    <col min="13317" max="13317" width="9.44140625" style="32" customWidth="1"/>
    <col min="13318" max="13318" width="16.21875" style="32" customWidth="1"/>
    <col min="13319" max="13319" width="27.44140625" style="32" customWidth="1"/>
    <col min="13320" max="13320" width="11.21875" style="32" customWidth="1"/>
    <col min="13321" max="13321" width="4.77734375" style="32" customWidth="1"/>
    <col min="13322" max="13322" width="8.21875" style="32" customWidth="1"/>
    <col min="13323" max="13326" width="14.44140625" style="32" customWidth="1"/>
    <col min="13327" max="13329" width="17.109375" style="32" customWidth="1"/>
    <col min="13330" max="13330" width="12.5546875" style="32" customWidth="1"/>
    <col min="13331" max="13331" width="15.109375" style="32" customWidth="1"/>
    <col min="13332" max="13332" width="12.44140625" style="32" customWidth="1"/>
    <col min="13333" max="13333" width="11.6640625" style="32" customWidth="1"/>
    <col min="13334" max="13334" width="15.77734375" style="32" bestFit="1" customWidth="1"/>
    <col min="13335" max="13335" width="12.33203125" style="32" customWidth="1"/>
    <col min="13336" max="13569" width="9.21875" style="32"/>
    <col min="13570" max="13570" width="2.77734375" style="32" customWidth="1"/>
    <col min="13571" max="13571" width="10.44140625" style="32" customWidth="1"/>
    <col min="13572" max="13572" width="12.44140625" style="32" customWidth="1"/>
    <col min="13573" max="13573" width="9.44140625" style="32" customWidth="1"/>
    <col min="13574" max="13574" width="16.21875" style="32" customWidth="1"/>
    <col min="13575" max="13575" width="27.44140625" style="32" customWidth="1"/>
    <col min="13576" max="13576" width="11.21875" style="32" customWidth="1"/>
    <col min="13577" max="13577" width="4.77734375" style="32" customWidth="1"/>
    <col min="13578" max="13578" width="8.21875" style="32" customWidth="1"/>
    <col min="13579" max="13582" width="14.44140625" style="32" customWidth="1"/>
    <col min="13583" max="13585" width="17.109375" style="32" customWidth="1"/>
    <col min="13586" max="13586" width="12.5546875" style="32" customWidth="1"/>
    <col min="13587" max="13587" width="15.109375" style="32" customWidth="1"/>
    <col min="13588" max="13588" width="12.44140625" style="32" customWidth="1"/>
    <col min="13589" max="13589" width="11.6640625" style="32" customWidth="1"/>
    <col min="13590" max="13590" width="15.77734375" style="32" bestFit="1" customWidth="1"/>
    <col min="13591" max="13591" width="12.33203125" style="32" customWidth="1"/>
    <col min="13592" max="13825" width="9.21875" style="32"/>
    <col min="13826" max="13826" width="2.77734375" style="32" customWidth="1"/>
    <col min="13827" max="13827" width="10.44140625" style="32" customWidth="1"/>
    <col min="13828" max="13828" width="12.44140625" style="32" customWidth="1"/>
    <col min="13829" max="13829" width="9.44140625" style="32" customWidth="1"/>
    <col min="13830" max="13830" width="16.21875" style="32" customWidth="1"/>
    <col min="13831" max="13831" width="27.44140625" style="32" customWidth="1"/>
    <col min="13832" max="13832" width="11.21875" style="32" customWidth="1"/>
    <col min="13833" max="13833" width="4.77734375" style="32" customWidth="1"/>
    <col min="13834" max="13834" width="8.21875" style="32" customWidth="1"/>
    <col min="13835" max="13838" width="14.44140625" style="32" customWidth="1"/>
    <col min="13839" max="13841" width="17.109375" style="32" customWidth="1"/>
    <col min="13842" max="13842" width="12.5546875" style="32" customWidth="1"/>
    <col min="13843" max="13843" width="15.109375" style="32" customWidth="1"/>
    <col min="13844" max="13844" width="12.44140625" style="32" customWidth="1"/>
    <col min="13845" max="13845" width="11.6640625" style="32" customWidth="1"/>
    <col min="13846" max="13846" width="15.77734375" style="32" bestFit="1" customWidth="1"/>
    <col min="13847" max="13847" width="12.33203125" style="32" customWidth="1"/>
    <col min="13848" max="14081" width="9.21875" style="32"/>
    <col min="14082" max="14082" width="2.77734375" style="32" customWidth="1"/>
    <col min="14083" max="14083" width="10.44140625" style="32" customWidth="1"/>
    <col min="14084" max="14084" width="12.44140625" style="32" customWidth="1"/>
    <col min="14085" max="14085" width="9.44140625" style="32" customWidth="1"/>
    <col min="14086" max="14086" width="16.21875" style="32" customWidth="1"/>
    <col min="14087" max="14087" width="27.44140625" style="32" customWidth="1"/>
    <col min="14088" max="14088" width="11.21875" style="32" customWidth="1"/>
    <col min="14089" max="14089" width="4.77734375" style="32" customWidth="1"/>
    <col min="14090" max="14090" width="8.21875" style="32" customWidth="1"/>
    <col min="14091" max="14094" width="14.44140625" style="32" customWidth="1"/>
    <col min="14095" max="14097" width="17.109375" style="32" customWidth="1"/>
    <col min="14098" max="14098" width="12.5546875" style="32" customWidth="1"/>
    <col min="14099" max="14099" width="15.109375" style="32" customWidth="1"/>
    <col min="14100" max="14100" width="12.44140625" style="32" customWidth="1"/>
    <col min="14101" max="14101" width="11.6640625" style="32" customWidth="1"/>
    <col min="14102" max="14102" width="15.77734375" style="32" bestFit="1" customWidth="1"/>
    <col min="14103" max="14103" width="12.33203125" style="32" customWidth="1"/>
    <col min="14104" max="14337" width="9.21875" style="32"/>
    <col min="14338" max="14338" width="2.77734375" style="32" customWidth="1"/>
    <col min="14339" max="14339" width="10.44140625" style="32" customWidth="1"/>
    <col min="14340" max="14340" width="12.44140625" style="32" customWidth="1"/>
    <col min="14341" max="14341" width="9.44140625" style="32" customWidth="1"/>
    <col min="14342" max="14342" width="16.21875" style="32" customWidth="1"/>
    <col min="14343" max="14343" width="27.44140625" style="32" customWidth="1"/>
    <col min="14344" max="14344" width="11.21875" style="32" customWidth="1"/>
    <col min="14345" max="14345" width="4.77734375" style="32" customWidth="1"/>
    <col min="14346" max="14346" width="8.21875" style="32" customWidth="1"/>
    <col min="14347" max="14350" width="14.44140625" style="32" customWidth="1"/>
    <col min="14351" max="14353" width="17.109375" style="32" customWidth="1"/>
    <col min="14354" max="14354" width="12.5546875" style="32" customWidth="1"/>
    <col min="14355" max="14355" width="15.109375" style="32" customWidth="1"/>
    <col min="14356" max="14356" width="12.44140625" style="32" customWidth="1"/>
    <col min="14357" max="14357" width="11.6640625" style="32" customWidth="1"/>
    <col min="14358" max="14358" width="15.77734375" style="32" bestFit="1" customWidth="1"/>
    <col min="14359" max="14359" width="12.33203125" style="32" customWidth="1"/>
    <col min="14360" max="14593" width="9.21875" style="32"/>
    <col min="14594" max="14594" width="2.77734375" style="32" customWidth="1"/>
    <col min="14595" max="14595" width="10.44140625" style="32" customWidth="1"/>
    <col min="14596" max="14596" width="12.44140625" style="32" customWidth="1"/>
    <col min="14597" max="14597" width="9.44140625" style="32" customWidth="1"/>
    <col min="14598" max="14598" width="16.21875" style="32" customWidth="1"/>
    <col min="14599" max="14599" width="27.44140625" style="32" customWidth="1"/>
    <col min="14600" max="14600" width="11.21875" style="32" customWidth="1"/>
    <col min="14601" max="14601" width="4.77734375" style="32" customWidth="1"/>
    <col min="14602" max="14602" width="8.21875" style="32" customWidth="1"/>
    <col min="14603" max="14606" width="14.44140625" style="32" customWidth="1"/>
    <col min="14607" max="14609" width="17.109375" style="32" customWidth="1"/>
    <col min="14610" max="14610" width="12.5546875" style="32" customWidth="1"/>
    <col min="14611" max="14611" width="15.109375" style="32" customWidth="1"/>
    <col min="14612" max="14612" width="12.44140625" style="32" customWidth="1"/>
    <col min="14613" max="14613" width="11.6640625" style="32" customWidth="1"/>
    <col min="14614" max="14614" width="15.77734375" style="32" bestFit="1" customWidth="1"/>
    <col min="14615" max="14615" width="12.33203125" style="32" customWidth="1"/>
    <col min="14616" max="14849" width="9.21875" style="32"/>
    <col min="14850" max="14850" width="2.77734375" style="32" customWidth="1"/>
    <col min="14851" max="14851" width="10.44140625" style="32" customWidth="1"/>
    <col min="14852" max="14852" width="12.44140625" style="32" customWidth="1"/>
    <col min="14853" max="14853" width="9.44140625" style="32" customWidth="1"/>
    <col min="14854" max="14854" width="16.21875" style="32" customWidth="1"/>
    <col min="14855" max="14855" width="27.44140625" style="32" customWidth="1"/>
    <col min="14856" max="14856" width="11.21875" style="32" customWidth="1"/>
    <col min="14857" max="14857" width="4.77734375" style="32" customWidth="1"/>
    <col min="14858" max="14858" width="8.21875" style="32" customWidth="1"/>
    <col min="14859" max="14862" width="14.44140625" style="32" customWidth="1"/>
    <col min="14863" max="14865" width="17.109375" style="32" customWidth="1"/>
    <col min="14866" max="14866" width="12.5546875" style="32" customWidth="1"/>
    <col min="14867" max="14867" width="15.109375" style="32" customWidth="1"/>
    <col min="14868" max="14868" width="12.44140625" style="32" customWidth="1"/>
    <col min="14869" max="14869" width="11.6640625" style="32" customWidth="1"/>
    <col min="14870" max="14870" width="15.77734375" style="32" bestFit="1" customWidth="1"/>
    <col min="14871" max="14871" width="12.33203125" style="32" customWidth="1"/>
    <col min="14872" max="15105" width="9.21875" style="32"/>
    <col min="15106" max="15106" width="2.77734375" style="32" customWidth="1"/>
    <col min="15107" max="15107" width="10.44140625" style="32" customWidth="1"/>
    <col min="15108" max="15108" width="12.44140625" style="32" customWidth="1"/>
    <col min="15109" max="15109" width="9.44140625" style="32" customWidth="1"/>
    <col min="15110" max="15110" width="16.21875" style="32" customWidth="1"/>
    <col min="15111" max="15111" width="27.44140625" style="32" customWidth="1"/>
    <col min="15112" max="15112" width="11.21875" style="32" customWidth="1"/>
    <col min="15113" max="15113" width="4.77734375" style="32" customWidth="1"/>
    <col min="15114" max="15114" width="8.21875" style="32" customWidth="1"/>
    <col min="15115" max="15118" width="14.44140625" style="32" customWidth="1"/>
    <col min="15119" max="15121" width="17.109375" style="32" customWidth="1"/>
    <col min="15122" max="15122" width="12.5546875" style="32" customWidth="1"/>
    <col min="15123" max="15123" width="15.109375" style="32" customWidth="1"/>
    <col min="15124" max="15124" width="12.44140625" style="32" customWidth="1"/>
    <col min="15125" max="15125" width="11.6640625" style="32" customWidth="1"/>
    <col min="15126" max="15126" width="15.77734375" style="32" bestFit="1" customWidth="1"/>
    <col min="15127" max="15127" width="12.33203125" style="32" customWidth="1"/>
    <col min="15128" max="15361" width="9.21875" style="32"/>
    <col min="15362" max="15362" width="2.77734375" style="32" customWidth="1"/>
    <col min="15363" max="15363" width="10.44140625" style="32" customWidth="1"/>
    <col min="15364" max="15364" width="12.44140625" style="32" customWidth="1"/>
    <col min="15365" max="15365" width="9.44140625" style="32" customWidth="1"/>
    <col min="15366" max="15366" width="16.21875" style="32" customWidth="1"/>
    <col min="15367" max="15367" width="27.44140625" style="32" customWidth="1"/>
    <col min="15368" max="15368" width="11.21875" style="32" customWidth="1"/>
    <col min="15369" max="15369" width="4.77734375" style="32" customWidth="1"/>
    <col min="15370" max="15370" width="8.21875" style="32" customWidth="1"/>
    <col min="15371" max="15374" width="14.44140625" style="32" customWidth="1"/>
    <col min="15375" max="15377" width="17.109375" style="32" customWidth="1"/>
    <col min="15378" max="15378" width="12.5546875" style="32" customWidth="1"/>
    <col min="15379" max="15379" width="15.109375" style="32" customWidth="1"/>
    <col min="15380" max="15380" width="12.44140625" style="32" customWidth="1"/>
    <col min="15381" max="15381" width="11.6640625" style="32" customWidth="1"/>
    <col min="15382" max="15382" width="15.77734375" style="32" bestFit="1" customWidth="1"/>
    <col min="15383" max="15383" width="12.33203125" style="32" customWidth="1"/>
    <col min="15384" max="15617" width="9.21875" style="32"/>
    <col min="15618" max="15618" width="2.77734375" style="32" customWidth="1"/>
    <col min="15619" max="15619" width="10.44140625" style="32" customWidth="1"/>
    <col min="15620" max="15620" width="12.44140625" style="32" customWidth="1"/>
    <col min="15621" max="15621" width="9.44140625" style="32" customWidth="1"/>
    <col min="15622" max="15622" width="16.21875" style="32" customWidth="1"/>
    <col min="15623" max="15623" width="27.44140625" style="32" customWidth="1"/>
    <col min="15624" max="15624" width="11.21875" style="32" customWidth="1"/>
    <col min="15625" max="15625" width="4.77734375" style="32" customWidth="1"/>
    <col min="15626" max="15626" width="8.21875" style="32" customWidth="1"/>
    <col min="15627" max="15630" width="14.44140625" style="32" customWidth="1"/>
    <col min="15631" max="15633" width="17.109375" style="32" customWidth="1"/>
    <col min="15634" max="15634" width="12.5546875" style="32" customWidth="1"/>
    <col min="15635" max="15635" width="15.109375" style="32" customWidth="1"/>
    <col min="15636" max="15636" width="12.44140625" style="32" customWidth="1"/>
    <col min="15637" max="15637" width="11.6640625" style="32" customWidth="1"/>
    <col min="15638" max="15638" width="15.77734375" style="32" bestFit="1" customWidth="1"/>
    <col min="15639" max="15639" width="12.33203125" style="32" customWidth="1"/>
    <col min="15640" max="15873" width="9.21875" style="32"/>
    <col min="15874" max="15874" width="2.77734375" style="32" customWidth="1"/>
    <col min="15875" max="15875" width="10.44140625" style="32" customWidth="1"/>
    <col min="15876" max="15876" width="12.44140625" style="32" customWidth="1"/>
    <col min="15877" max="15877" width="9.44140625" style="32" customWidth="1"/>
    <col min="15878" max="15878" width="16.21875" style="32" customWidth="1"/>
    <col min="15879" max="15879" width="27.44140625" style="32" customWidth="1"/>
    <col min="15880" max="15880" width="11.21875" style="32" customWidth="1"/>
    <col min="15881" max="15881" width="4.77734375" style="32" customWidth="1"/>
    <col min="15882" max="15882" width="8.21875" style="32" customWidth="1"/>
    <col min="15883" max="15886" width="14.44140625" style="32" customWidth="1"/>
    <col min="15887" max="15889" width="17.109375" style="32" customWidth="1"/>
    <col min="15890" max="15890" width="12.5546875" style="32" customWidth="1"/>
    <col min="15891" max="15891" width="15.109375" style="32" customWidth="1"/>
    <col min="15892" max="15892" width="12.44140625" style="32" customWidth="1"/>
    <col min="15893" max="15893" width="11.6640625" style="32" customWidth="1"/>
    <col min="15894" max="15894" width="15.77734375" style="32" bestFit="1" customWidth="1"/>
    <col min="15895" max="15895" width="12.33203125" style="32" customWidth="1"/>
    <col min="15896" max="16129" width="9.21875" style="32"/>
    <col min="16130" max="16130" width="2.77734375" style="32" customWidth="1"/>
    <col min="16131" max="16131" width="10.44140625" style="32" customWidth="1"/>
    <col min="16132" max="16132" width="12.44140625" style="32" customWidth="1"/>
    <col min="16133" max="16133" width="9.44140625" style="32" customWidth="1"/>
    <col min="16134" max="16134" width="16.21875" style="32" customWidth="1"/>
    <col min="16135" max="16135" width="27.44140625" style="32" customWidth="1"/>
    <col min="16136" max="16136" width="11.21875" style="32" customWidth="1"/>
    <col min="16137" max="16137" width="4.77734375" style="32" customWidth="1"/>
    <col min="16138" max="16138" width="8.21875" style="32" customWidth="1"/>
    <col min="16139" max="16142" width="14.44140625" style="32" customWidth="1"/>
    <col min="16143" max="16145" width="17.109375" style="32" customWidth="1"/>
    <col min="16146" max="16146" width="12.5546875" style="32" customWidth="1"/>
    <col min="16147" max="16147" width="15.109375" style="32" customWidth="1"/>
    <col min="16148" max="16148" width="12.44140625" style="32" customWidth="1"/>
    <col min="16149" max="16149" width="11.6640625" style="32" customWidth="1"/>
    <col min="16150" max="16150" width="15.77734375" style="32" bestFit="1" customWidth="1"/>
    <col min="16151" max="16151" width="12.33203125" style="32" customWidth="1"/>
    <col min="16152" max="16384" width="9.21875" style="32"/>
  </cols>
  <sheetData>
    <row r="1" spans="1:23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3" ht="18.75" customHeight="1">
      <c r="A2" s="31"/>
      <c r="B2" s="33"/>
      <c r="C2" s="34"/>
      <c r="D2" s="92" t="s">
        <v>77</v>
      </c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3" t="s">
        <v>78</v>
      </c>
      <c r="V2" s="76" t="s">
        <v>79</v>
      </c>
      <c r="W2" s="31"/>
    </row>
    <row r="3" spans="1:23" ht="38.4" customHeight="1">
      <c r="A3" s="31"/>
      <c r="B3" s="35"/>
      <c r="C3" s="36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3"/>
      <c r="V3" s="76"/>
      <c r="W3" s="31"/>
    </row>
    <row r="4" spans="1:23" ht="18.75" customHeight="1">
      <c r="A4" s="31"/>
      <c r="B4" s="35"/>
      <c r="C4" s="36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4" t="s">
        <v>80</v>
      </c>
      <c r="V4" s="95" t="s">
        <v>81</v>
      </c>
      <c r="W4" s="31"/>
    </row>
    <row r="5" spans="1:23" ht="18.75" customHeight="1">
      <c r="A5" s="31"/>
      <c r="B5" s="37"/>
      <c r="C5" s="38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4"/>
      <c r="V5" s="95"/>
      <c r="W5" s="31"/>
    </row>
    <row r="6" spans="1:23" ht="18" customHeight="1">
      <c r="A6" s="31"/>
      <c r="B6" s="77" t="s">
        <v>82</v>
      </c>
      <c r="C6" s="78"/>
      <c r="D6" s="96" t="s">
        <v>83</v>
      </c>
      <c r="E6" s="97"/>
      <c r="F6" s="97"/>
      <c r="G6" s="97"/>
      <c r="H6" s="97"/>
      <c r="I6" s="98"/>
      <c r="J6" s="105" t="s">
        <v>84</v>
      </c>
      <c r="K6" s="106" t="s">
        <v>85</v>
      </c>
      <c r="L6" s="106"/>
      <c r="M6" s="106"/>
      <c r="N6" s="106"/>
      <c r="O6" s="106"/>
      <c r="P6" s="106"/>
      <c r="Q6" s="106"/>
      <c r="R6" s="106"/>
      <c r="S6" s="106"/>
      <c r="T6" s="106"/>
      <c r="U6" s="107"/>
      <c r="V6" s="108"/>
      <c r="W6" s="31"/>
    </row>
    <row r="7" spans="1:23">
      <c r="A7" s="31"/>
      <c r="B7" s="79"/>
      <c r="C7" s="80"/>
      <c r="D7" s="99"/>
      <c r="E7" s="100"/>
      <c r="F7" s="100"/>
      <c r="G7" s="100"/>
      <c r="H7" s="100"/>
      <c r="I7" s="101"/>
      <c r="J7" s="105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9"/>
      <c r="V7" s="110"/>
      <c r="W7" s="31"/>
    </row>
    <row r="8" spans="1:23">
      <c r="A8" s="31"/>
      <c r="B8" s="81"/>
      <c r="C8" s="82"/>
      <c r="D8" s="102"/>
      <c r="E8" s="103"/>
      <c r="F8" s="103"/>
      <c r="G8" s="103"/>
      <c r="H8" s="103"/>
      <c r="I8" s="104"/>
      <c r="J8" s="105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11"/>
      <c r="V8" s="112"/>
      <c r="W8" s="31"/>
    </row>
    <row r="9" spans="1:23" ht="60" customHeight="1">
      <c r="A9" s="31"/>
      <c r="B9" s="113" t="s">
        <v>86</v>
      </c>
      <c r="C9" s="114"/>
      <c r="D9" s="77" t="s">
        <v>87</v>
      </c>
      <c r="E9" s="83"/>
      <c r="F9" s="78"/>
      <c r="G9" s="58" t="s">
        <v>119</v>
      </c>
      <c r="H9" s="58" t="s">
        <v>120</v>
      </c>
      <c r="I9" s="58" t="s">
        <v>121</v>
      </c>
      <c r="J9" s="58" t="s">
        <v>122</v>
      </c>
      <c r="K9" s="58" t="s">
        <v>123</v>
      </c>
      <c r="L9" s="58" t="s">
        <v>124</v>
      </c>
      <c r="M9" s="58" t="s">
        <v>133</v>
      </c>
      <c r="N9" s="59" t="s">
        <v>31</v>
      </c>
      <c r="O9" s="59" t="s">
        <v>136</v>
      </c>
      <c r="P9" s="59" t="s">
        <v>89</v>
      </c>
      <c r="Q9" s="59" t="s">
        <v>90</v>
      </c>
      <c r="R9" s="58" t="s">
        <v>92</v>
      </c>
      <c r="S9" s="58" t="s">
        <v>93</v>
      </c>
      <c r="T9" s="58" t="s">
        <v>94</v>
      </c>
      <c r="U9" s="58" t="s">
        <v>37</v>
      </c>
      <c r="V9" s="58" t="s">
        <v>38</v>
      </c>
      <c r="W9" s="31"/>
    </row>
    <row r="10" spans="1:23" ht="67.8" customHeight="1">
      <c r="A10" s="31"/>
      <c r="B10" s="66" t="s">
        <v>95</v>
      </c>
      <c r="C10" s="67"/>
      <c r="D10" s="115" t="s">
        <v>96</v>
      </c>
      <c r="E10" s="116"/>
      <c r="F10" s="117"/>
      <c r="G10" s="39" t="s">
        <v>97</v>
      </c>
      <c r="H10" s="39" t="s">
        <v>97</v>
      </c>
      <c r="I10" s="39" t="s">
        <v>97</v>
      </c>
      <c r="J10" s="39" t="s">
        <v>97</v>
      </c>
      <c r="K10" s="39" t="s">
        <v>97</v>
      </c>
      <c r="L10" s="39" t="s">
        <v>97</v>
      </c>
      <c r="M10" s="39" t="s">
        <v>97</v>
      </c>
      <c r="N10" s="40" t="s">
        <v>135</v>
      </c>
      <c r="O10" s="40" t="s">
        <v>135</v>
      </c>
      <c r="P10" s="40" t="s">
        <v>135</v>
      </c>
      <c r="Q10" s="40" t="s">
        <v>135</v>
      </c>
      <c r="R10" s="42" t="s">
        <v>102</v>
      </c>
      <c r="S10" s="41" t="s">
        <v>103</v>
      </c>
      <c r="T10" s="41" t="s">
        <v>103</v>
      </c>
      <c r="U10" s="41" t="s">
        <v>103</v>
      </c>
      <c r="V10" s="41" t="s">
        <v>103</v>
      </c>
      <c r="W10" s="31"/>
    </row>
    <row r="11" spans="1:23" ht="63" customHeight="1">
      <c r="A11" s="31"/>
      <c r="B11" s="66"/>
      <c r="C11" s="67"/>
      <c r="D11" s="68"/>
      <c r="E11" s="68"/>
      <c r="F11" s="68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41"/>
      <c r="W11" s="31"/>
    </row>
    <row r="12" spans="1:23" ht="63" customHeight="1">
      <c r="A12" s="31"/>
      <c r="B12" s="66"/>
      <c r="C12" s="67"/>
      <c r="D12" s="68"/>
      <c r="E12" s="68"/>
      <c r="F12" s="68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41"/>
      <c r="W12" s="31"/>
    </row>
    <row r="13" spans="1:23">
      <c r="A13" s="31"/>
      <c r="B13" s="45" t="s">
        <v>104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7"/>
      <c r="W13" s="31"/>
    </row>
    <row r="14" spans="1:23">
      <c r="A14" s="31"/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50"/>
      <c r="W14" s="31"/>
    </row>
    <row r="15" spans="1:23">
      <c r="A15" s="31"/>
      <c r="B15" s="48" t="s">
        <v>105</v>
      </c>
      <c r="C15" s="49"/>
      <c r="D15" s="49" t="s">
        <v>134</v>
      </c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50"/>
      <c r="W15" s="31"/>
    </row>
    <row r="16" spans="1:23" ht="14.25" customHeight="1">
      <c r="A16" s="31"/>
      <c r="B16" s="48" t="s">
        <v>107</v>
      </c>
      <c r="C16" s="49"/>
      <c r="D16" s="32" t="s">
        <v>108</v>
      </c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50"/>
      <c r="W16" s="31"/>
    </row>
    <row r="17" spans="1:23" ht="15" customHeight="1">
      <c r="A17" s="31"/>
      <c r="B17" s="48" t="s">
        <v>109</v>
      </c>
      <c r="C17" s="49"/>
      <c r="D17" s="49" t="s">
        <v>110</v>
      </c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50"/>
      <c r="W17" s="31"/>
    </row>
    <row r="18" spans="1:23" ht="12.75" customHeight="1">
      <c r="A18" s="31"/>
      <c r="B18" s="51" t="s">
        <v>111</v>
      </c>
      <c r="C18" s="49"/>
      <c r="D18" s="49" t="s">
        <v>112</v>
      </c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50"/>
      <c r="W18" s="31"/>
    </row>
    <row r="19" spans="1:23">
      <c r="A19" s="31"/>
      <c r="B19" s="52" t="s">
        <v>113</v>
      </c>
      <c r="C19" s="53"/>
      <c r="D19" s="53" t="s">
        <v>114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4"/>
      <c r="W19" s="31"/>
    </row>
    <row r="20" spans="1:23">
      <c r="A20" s="31"/>
      <c r="B20" s="33" t="str">
        <f>+D6</f>
        <v>Toyo Cushion Lanka                                                                                                                                         COMPANY   NO : PV 5492                                                                                                                                     400 Deans Road Colombo 10 01000 Sri Lanka 94112232939-Fixed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60"/>
      <c r="T20" s="60"/>
      <c r="U20" s="60"/>
      <c r="V20" s="61"/>
      <c r="W20" s="31"/>
    </row>
    <row r="21" spans="1:23">
      <c r="A21" s="31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62"/>
      <c r="T21" s="62"/>
      <c r="U21" s="62"/>
      <c r="V21" s="63"/>
      <c r="W21" s="31"/>
    </row>
    <row r="22" spans="1:23">
      <c r="A22" s="31"/>
      <c r="B22" s="35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62"/>
      <c r="T22" s="62"/>
      <c r="U22" s="62"/>
      <c r="V22" s="63"/>
      <c r="W22" s="31"/>
    </row>
    <row r="23" spans="1:23">
      <c r="A23" s="31"/>
      <c r="B23" s="35" t="s">
        <v>115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62"/>
      <c r="T23" s="62"/>
      <c r="U23" s="62"/>
      <c r="V23" s="63"/>
      <c r="W23" s="31"/>
    </row>
    <row r="24" spans="1:23">
      <c r="A24" s="31"/>
      <c r="B24" s="37" t="s">
        <v>116</v>
      </c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64"/>
      <c r="T24" s="64"/>
      <c r="U24" s="64"/>
      <c r="V24" s="65"/>
      <c r="W24" s="31"/>
    </row>
    <row r="25" spans="1:2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</row>
  </sheetData>
  <mergeCells count="19">
    <mergeCell ref="B6:C8"/>
    <mergeCell ref="D6:I8"/>
    <mergeCell ref="J6:J8"/>
    <mergeCell ref="K6:T8"/>
    <mergeCell ref="U6:V8"/>
    <mergeCell ref="D2:T5"/>
    <mergeCell ref="U2:U3"/>
    <mergeCell ref="V2:V3"/>
    <mergeCell ref="U4:U5"/>
    <mergeCell ref="V4:V5"/>
    <mergeCell ref="S20:V24"/>
    <mergeCell ref="D9:F9"/>
    <mergeCell ref="B9:C9"/>
    <mergeCell ref="B11:C11"/>
    <mergeCell ref="D11:F11"/>
    <mergeCell ref="B12:C12"/>
    <mergeCell ref="D12:F12"/>
    <mergeCell ref="B10:C10"/>
    <mergeCell ref="D10:F10"/>
  </mergeCells>
  <pageMargins left="0.17" right="0.17" top="0.3" bottom="0.75" header="0.3" footer="0.3"/>
  <pageSetup scale="3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E11F-DC74-410B-9AF9-A62C36DF145D}">
  <dimension ref="A1:Y14"/>
  <sheetViews>
    <sheetView topLeftCell="F3" workbookViewId="0">
      <selection activeCell="L12" sqref="L12"/>
    </sheetView>
  </sheetViews>
  <sheetFormatPr defaultRowHeight="14.4"/>
  <cols>
    <col min="1" max="1" width="22" customWidth="1"/>
    <col min="2" max="2" width="17.21875" bestFit="1" customWidth="1"/>
    <col min="3" max="3" width="14" bestFit="1" customWidth="1"/>
    <col min="4" max="4" width="7" bestFit="1" customWidth="1"/>
    <col min="5" max="5" width="16" bestFit="1" customWidth="1"/>
    <col min="6" max="6" width="12" bestFit="1" customWidth="1"/>
    <col min="7" max="7" width="7.5546875" bestFit="1" customWidth="1"/>
    <col min="8" max="8" width="12.33203125" bestFit="1" customWidth="1"/>
    <col min="9" max="9" width="9.77734375" bestFit="1" customWidth="1"/>
    <col min="10" max="10" width="26" customWidth="1"/>
    <col min="11" max="13" width="19" customWidth="1"/>
    <col min="14" max="14" width="13.5546875" customWidth="1"/>
    <col min="15" max="15" width="11.5546875" bestFit="1" customWidth="1"/>
    <col min="16" max="17" width="16.21875" bestFit="1" customWidth="1"/>
    <col min="18" max="18" width="20.88671875" bestFit="1" customWidth="1"/>
    <col min="19" max="19" width="19" customWidth="1"/>
    <col min="24" max="24" width="19.109375" bestFit="1" customWidth="1"/>
  </cols>
  <sheetData>
    <row r="1" spans="1:25" s="1" customFormat="1" ht="31.95" customHeight="1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</row>
    <row r="2" spans="1:25" s="57" customFormat="1" ht="31.95" customHeight="1">
      <c r="A2"/>
      <c r="B2"/>
      <c r="C2"/>
      <c r="D2"/>
      <c r="R2" s="14" t="s">
        <v>40</v>
      </c>
      <c r="S2" s="14">
        <v>150000</v>
      </c>
      <c r="T2"/>
      <c r="U2" s="14" t="s">
        <v>44</v>
      </c>
      <c r="V2" s="15" t="b">
        <v>0</v>
      </c>
      <c r="W2"/>
      <c r="X2" s="14" t="s">
        <v>46</v>
      </c>
      <c r="Y2" s="15" t="b">
        <v>0</v>
      </c>
    </row>
    <row r="3" spans="1:25" s="57" customFormat="1" ht="31.95" customHeight="1">
      <c r="A3" s="2" t="s">
        <v>1</v>
      </c>
      <c r="B3" s="3" t="s">
        <v>2</v>
      </c>
      <c r="C3" s="2" t="s">
        <v>3</v>
      </c>
      <c r="D3" s="4" t="s">
        <v>4</v>
      </c>
      <c r="R3" s="14" t="s">
        <v>41</v>
      </c>
      <c r="S3" s="14">
        <v>305</v>
      </c>
      <c r="T3"/>
      <c r="U3" s="14" t="s">
        <v>45</v>
      </c>
      <c r="V3" s="15" t="b">
        <v>0</v>
      </c>
      <c r="W3"/>
      <c r="X3" s="14" t="s">
        <v>47</v>
      </c>
      <c r="Y3" s="15" t="b">
        <v>0</v>
      </c>
    </row>
    <row r="4" spans="1:25" s="57" customFormat="1" ht="31.95" customHeight="1">
      <c r="A4" s="2" t="s">
        <v>5</v>
      </c>
      <c r="B4" s="4" t="s">
        <v>6</v>
      </c>
      <c r="C4" s="2" t="s">
        <v>7</v>
      </c>
      <c r="D4" s="4" t="s">
        <v>8</v>
      </c>
      <c r="R4" s="14" t="s">
        <v>42</v>
      </c>
      <c r="S4" s="16">
        <v>0.4</v>
      </c>
      <c r="T4"/>
      <c r="U4"/>
      <c r="V4"/>
      <c r="W4"/>
      <c r="X4" s="14" t="s">
        <v>48</v>
      </c>
      <c r="Y4" s="15" t="b">
        <v>0</v>
      </c>
    </row>
    <row r="5" spans="1:25" s="57" customFormat="1" ht="31.95" customHeight="1">
      <c r="A5" s="2"/>
      <c r="B5" s="4"/>
      <c r="C5" s="2"/>
      <c r="D5" s="4"/>
      <c r="R5" s="14" t="s">
        <v>43</v>
      </c>
      <c r="S5" s="14">
        <v>3500</v>
      </c>
      <c r="T5"/>
      <c r="U5"/>
      <c r="V5"/>
      <c r="W5"/>
      <c r="X5" s="14" t="s">
        <v>49</v>
      </c>
      <c r="Y5" s="15" t="b">
        <v>0</v>
      </c>
    </row>
    <row r="6" spans="1:25" s="57" customFormat="1" ht="31.95" customHeight="1">
      <c r="A6" s="2"/>
      <c r="B6" s="4"/>
      <c r="C6" s="2"/>
      <c r="D6" s="4"/>
      <c r="R6" s="17" t="s">
        <v>53</v>
      </c>
      <c r="S6" s="18">
        <v>0.2</v>
      </c>
      <c r="T6"/>
      <c r="U6"/>
      <c r="V6"/>
      <c r="W6"/>
      <c r="X6" s="17"/>
      <c r="Y6" s="17"/>
    </row>
    <row r="7" spans="1:25" s="57" customFormat="1" ht="31.95" customHeight="1">
      <c r="A7" s="2" t="s">
        <v>9</v>
      </c>
      <c r="B7" s="4" t="s">
        <v>10</v>
      </c>
      <c r="C7" s="2" t="s">
        <v>11</v>
      </c>
      <c r="D7" s="4" t="s">
        <v>12</v>
      </c>
    </row>
    <row r="8" spans="1:25" s="57" customFormat="1" ht="31.95" customHeight="1">
      <c r="A8" s="2" t="s">
        <v>13</v>
      </c>
      <c r="B8" s="4" t="s">
        <v>14</v>
      </c>
      <c r="C8" s="2" t="s">
        <v>15</v>
      </c>
      <c r="D8" s="4" t="s">
        <v>16</v>
      </c>
    </row>
    <row r="9" spans="1:25" s="57" customFormat="1" ht="31.95" customHeight="1">
      <c r="N9" s="128" t="s">
        <v>117</v>
      </c>
      <c r="O9" s="128"/>
      <c r="P9" s="128"/>
      <c r="Q9" s="128"/>
      <c r="R9" s="128"/>
      <c r="S9" s="128"/>
      <c r="T9" s="128"/>
      <c r="U9" s="128"/>
      <c r="V9" s="128"/>
    </row>
    <row r="10" spans="1:25" ht="28.8" customHeight="1">
      <c r="A10" s="19" t="s">
        <v>59</v>
      </c>
      <c r="B10" s="20" t="s">
        <v>60</v>
      </c>
      <c r="C10" s="23" t="s">
        <v>58</v>
      </c>
      <c r="D10" s="124" t="s">
        <v>137</v>
      </c>
      <c r="E10" s="125"/>
      <c r="F10" s="125"/>
      <c r="G10" s="125"/>
      <c r="H10" s="125"/>
      <c r="I10" s="125"/>
      <c r="J10" s="126"/>
      <c r="K10" s="25" t="s">
        <v>60</v>
      </c>
      <c r="L10" s="127" t="s">
        <v>76</v>
      </c>
      <c r="M10" s="127"/>
      <c r="N10" s="127"/>
      <c r="O10" s="127"/>
      <c r="P10" s="127"/>
      <c r="Q10" s="127"/>
      <c r="R10" s="127"/>
      <c r="S10" s="127"/>
      <c r="T10" s="127"/>
      <c r="U10" s="127"/>
      <c r="V10" s="127"/>
    </row>
    <row r="11" spans="1:25" ht="25.95" customHeight="1" thickBot="1">
      <c r="A11" s="5" t="s">
        <v>118</v>
      </c>
      <c r="B11" s="5" t="s">
        <v>119</v>
      </c>
      <c r="C11" s="5" t="s">
        <v>120</v>
      </c>
      <c r="D11" s="5" t="s">
        <v>121</v>
      </c>
      <c r="E11" s="5" t="s">
        <v>122</v>
      </c>
      <c r="F11" s="5" t="s">
        <v>123</v>
      </c>
      <c r="G11" s="5" t="s">
        <v>124</v>
      </c>
      <c r="H11" s="5" t="s">
        <v>125</v>
      </c>
      <c r="I11" s="129" t="s">
        <v>31</v>
      </c>
      <c r="J11" s="129" t="s">
        <v>129</v>
      </c>
      <c r="K11" s="26" t="s">
        <v>24</v>
      </c>
      <c r="L11" s="24" t="s">
        <v>63</v>
      </c>
      <c r="M11" s="24" t="s">
        <v>64</v>
      </c>
      <c r="N11" s="24" t="s">
        <v>93</v>
      </c>
      <c r="O11" s="24" t="s">
        <v>94</v>
      </c>
      <c r="P11" s="24" t="s">
        <v>37</v>
      </c>
      <c r="Q11" s="24" t="s">
        <v>38</v>
      </c>
      <c r="R11" s="24" t="s">
        <v>50</v>
      </c>
      <c r="S11" s="24" t="s">
        <v>54</v>
      </c>
      <c r="T11" s="24" t="s">
        <v>51</v>
      </c>
      <c r="U11" s="24" t="s">
        <v>52</v>
      </c>
      <c r="V11" s="24" t="s">
        <v>39</v>
      </c>
    </row>
    <row r="12" spans="1:25" ht="22.05" customHeight="1">
      <c r="A12" s="6">
        <v>1</v>
      </c>
      <c r="B12" s="7" t="s">
        <v>126</v>
      </c>
      <c r="C12" s="7" t="s">
        <v>127</v>
      </c>
      <c r="D12" s="8" t="s">
        <v>128</v>
      </c>
      <c r="E12" s="7" t="s">
        <v>73</v>
      </c>
      <c r="F12" s="7" t="s">
        <v>73</v>
      </c>
      <c r="G12" s="7" t="s">
        <v>73</v>
      </c>
      <c r="H12" s="7" t="s">
        <v>74</v>
      </c>
      <c r="I12" s="7" t="s">
        <v>74</v>
      </c>
      <c r="J12" s="7" t="s">
        <v>74</v>
      </c>
      <c r="K12" s="8" t="s">
        <v>30</v>
      </c>
      <c r="L12" s="27" t="s">
        <v>74</v>
      </c>
      <c r="M12" s="27" t="s">
        <v>74</v>
      </c>
      <c r="N12" s="28" t="e">
        <f>27/((B12*C12*D12)/1000000)/H12</f>
        <v>#VALUE!</v>
      </c>
      <c r="O12" s="28" t="e">
        <f>67/((B12*C12*D12)/1000000)/H12</f>
        <v>#VALUE!</v>
      </c>
      <c r="P12" s="28" t="e">
        <f>+O12*H12</f>
        <v>#VALUE!</v>
      </c>
      <c r="Q12" s="29" t="e">
        <f>+N12*O12</f>
        <v>#VALUE!</v>
      </c>
      <c r="R12" s="30" t="e">
        <f>((($S$2/P12+K12)/$S$3))/(1-$S$4)</f>
        <v>#VALUE!</v>
      </c>
      <c r="S12" s="30" t="e">
        <f>((($S$2/Q12+K12)/$S$3))/(1-$S$4)</f>
        <v>#VALUE!</v>
      </c>
      <c r="T12" s="30" t="e">
        <f>((($S$2/P12+K12)/$S$3))/(1-$S$4)+(S6/P12)</f>
        <v>#VALUE!</v>
      </c>
      <c r="U12" s="30" t="e">
        <f>((($S$2/Q12+K12)/$S$3))/(1-$S$4)+(S6/Q12)</f>
        <v>#VALUE!</v>
      </c>
      <c r="V12" s="30">
        <f>((K12/(S4)*(1+S6)))</f>
        <v>80.19</v>
      </c>
    </row>
    <row r="13" spans="1:25" ht="39" customHeight="1">
      <c r="N13" s="118" t="s">
        <v>130</v>
      </c>
      <c r="O13" s="119"/>
      <c r="P13" s="119"/>
      <c r="Q13" s="119"/>
      <c r="R13" s="119"/>
      <c r="S13" s="119"/>
      <c r="T13" s="119"/>
      <c r="U13" s="119"/>
      <c r="V13" s="120"/>
    </row>
    <row r="14" spans="1:25">
      <c r="N14" s="121" t="s">
        <v>62</v>
      </c>
      <c r="O14" s="121"/>
      <c r="P14" s="13" t="s">
        <v>131</v>
      </c>
      <c r="Q14" s="13" t="s">
        <v>132</v>
      </c>
      <c r="R14" s="122" t="s">
        <v>72</v>
      </c>
      <c r="S14" s="122"/>
      <c r="T14" s="122"/>
      <c r="U14" s="122"/>
      <c r="V14" s="122"/>
    </row>
  </sheetData>
  <mergeCells count="7">
    <mergeCell ref="N13:V13"/>
    <mergeCell ref="N14:O14"/>
    <mergeCell ref="R14:V14"/>
    <mergeCell ref="A1:K1"/>
    <mergeCell ref="D10:J10"/>
    <mergeCell ref="L10:V10"/>
    <mergeCell ref="N9:V9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15EDD-F434-411F-9618-D9383F5AF690}">
  <sheetPr>
    <pageSetUpPr fitToPage="1"/>
  </sheetPr>
  <dimension ref="A1:V27"/>
  <sheetViews>
    <sheetView view="pageBreakPreview" zoomScale="64" zoomScaleNormal="64" zoomScaleSheetLayoutView="64" workbookViewId="0">
      <selection activeCell="L9" sqref="L9:L11"/>
    </sheetView>
  </sheetViews>
  <sheetFormatPr defaultColWidth="9.21875" defaultRowHeight="18"/>
  <cols>
    <col min="1" max="1" width="2.77734375" style="32" customWidth="1"/>
    <col min="2" max="2" width="10.44140625" style="32" customWidth="1"/>
    <col min="3" max="3" width="12.44140625" style="32" customWidth="1"/>
    <col min="4" max="4" width="9.44140625" style="32" customWidth="1"/>
    <col min="5" max="5" width="16.21875" style="32" customWidth="1"/>
    <col min="6" max="6" width="27.44140625" style="32" customWidth="1"/>
    <col min="7" max="7" width="11.21875" style="32" customWidth="1"/>
    <col min="8" max="8" width="4.77734375" style="32" customWidth="1"/>
    <col min="9" max="9" width="8.21875" style="32" customWidth="1"/>
    <col min="10" max="13" width="14.44140625" style="32" customWidth="1"/>
    <col min="14" max="16" width="17.109375" style="32" customWidth="1"/>
    <col min="17" max="17" width="12.5546875" style="32" customWidth="1"/>
    <col min="18" max="18" width="15.109375" style="32" customWidth="1"/>
    <col min="19" max="19" width="12.44140625" style="32" customWidth="1"/>
    <col min="20" max="20" width="11.6640625" style="32" customWidth="1"/>
    <col min="21" max="21" width="15.77734375" style="32" bestFit="1" customWidth="1"/>
    <col min="22" max="22" width="12.33203125" style="32" customWidth="1"/>
    <col min="23" max="256" width="9.21875" style="32"/>
    <col min="257" max="257" width="2.77734375" style="32" customWidth="1"/>
    <col min="258" max="258" width="10.44140625" style="32" customWidth="1"/>
    <col min="259" max="259" width="12.44140625" style="32" customWidth="1"/>
    <col min="260" max="260" width="9.44140625" style="32" customWidth="1"/>
    <col min="261" max="261" width="16.21875" style="32" customWidth="1"/>
    <col min="262" max="262" width="27.44140625" style="32" customWidth="1"/>
    <col min="263" max="263" width="11.21875" style="32" customWidth="1"/>
    <col min="264" max="264" width="4.77734375" style="32" customWidth="1"/>
    <col min="265" max="265" width="8.21875" style="32" customWidth="1"/>
    <col min="266" max="269" width="14.44140625" style="32" customWidth="1"/>
    <col min="270" max="272" width="17.109375" style="32" customWidth="1"/>
    <col min="273" max="273" width="12.5546875" style="32" customWidth="1"/>
    <col min="274" max="274" width="15.109375" style="32" customWidth="1"/>
    <col min="275" max="275" width="12.44140625" style="32" customWidth="1"/>
    <col min="276" max="276" width="11.6640625" style="32" customWidth="1"/>
    <col min="277" max="277" width="15.77734375" style="32" bestFit="1" customWidth="1"/>
    <col min="278" max="278" width="12.33203125" style="32" customWidth="1"/>
    <col min="279" max="512" width="9.21875" style="32"/>
    <col min="513" max="513" width="2.77734375" style="32" customWidth="1"/>
    <col min="514" max="514" width="10.44140625" style="32" customWidth="1"/>
    <col min="515" max="515" width="12.44140625" style="32" customWidth="1"/>
    <col min="516" max="516" width="9.44140625" style="32" customWidth="1"/>
    <col min="517" max="517" width="16.21875" style="32" customWidth="1"/>
    <col min="518" max="518" width="27.44140625" style="32" customWidth="1"/>
    <col min="519" max="519" width="11.21875" style="32" customWidth="1"/>
    <col min="520" max="520" width="4.77734375" style="32" customWidth="1"/>
    <col min="521" max="521" width="8.21875" style="32" customWidth="1"/>
    <col min="522" max="525" width="14.44140625" style="32" customWidth="1"/>
    <col min="526" max="528" width="17.109375" style="32" customWidth="1"/>
    <col min="529" max="529" width="12.5546875" style="32" customWidth="1"/>
    <col min="530" max="530" width="15.109375" style="32" customWidth="1"/>
    <col min="531" max="531" width="12.44140625" style="32" customWidth="1"/>
    <col min="532" max="532" width="11.6640625" style="32" customWidth="1"/>
    <col min="533" max="533" width="15.77734375" style="32" bestFit="1" customWidth="1"/>
    <col min="534" max="534" width="12.33203125" style="32" customWidth="1"/>
    <col min="535" max="768" width="9.21875" style="32"/>
    <col min="769" max="769" width="2.77734375" style="32" customWidth="1"/>
    <col min="770" max="770" width="10.44140625" style="32" customWidth="1"/>
    <col min="771" max="771" width="12.44140625" style="32" customWidth="1"/>
    <col min="772" max="772" width="9.44140625" style="32" customWidth="1"/>
    <col min="773" max="773" width="16.21875" style="32" customWidth="1"/>
    <col min="774" max="774" width="27.44140625" style="32" customWidth="1"/>
    <col min="775" max="775" width="11.21875" style="32" customWidth="1"/>
    <col min="776" max="776" width="4.77734375" style="32" customWidth="1"/>
    <col min="777" max="777" width="8.21875" style="32" customWidth="1"/>
    <col min="778" max="781" width="14.44140625" style="32" customWidth="1"/>
    <col min="782" max="784" width="17.109375" style="32" customWidth="1"/>
    <col min="785" max="785" width="12.5546875" style="32" customWidth="1"/>
    <col min="786" max="786" width="15.109375" style="32" customWidth="1"/>
    <col min="787" max="787" width="12.44140625" style="32" customWidth="1"/>
    <col min="788" max="788" width="11.6640625" style="32" customWidth="1"/>
    <col min="789" max="789" width="15.77734375" style="32" bestFit="1" customWidth="1"/>
    <col min="790" max="790" width="12.33203125" style="32" customWidth="1"/>
    <col min="791" max="1024" width="9.21875" style="32"/>
    <col min="1025" max="1025" width="2.77734375" style="32" customWidth="1"/>
    <col min="1026" max="1026" width="10.44140625" style="32" customWidth="1"/>
    <col min="1027" max="1027" width="12.44140625" style="32" customWidth="1"/>
    <col min="1028" max="1028" width="9.44140625" style="32" customWidth="1"/>
    <col min="1029" max="1029" width="16.21875" style="32" customWidth="1"/>
    <col min="1030" max="1030" width="27.44140625" style="32" customWidth="1"/>
    <col min="1031" max="1031" width="11.21875" style="32" customWidth="1"/>
    <col min="1032" max="1032" width="4.77734375" style="32" customWidth="1"/>
    <col min="1033" max="1033" width="8.21875" style="32" customWidth="1"/>
    <col min="1034" max="1037" width="14.44140625" style="32" customWidth="1"/>
    <col min="1038" max="1040" width="17.109375" style="32" customWidth="1"/>
    <col min="1041" max="1041" width="12.5546875" style="32" customWidth="1"/>
    <col min="1042" max="1042" width="15.109375" style="32" customWidth="1"/>
    <col min="1043" max="1043" width="12.44140625" style="32" customWidth="1"/>
    <col min="1044" max="1044" width="11.6640625" style="32" customWidth="1"/>
    <col min="1045" max="1045" width="15.77734375" style="32" bestFit="1" customWidth="1"/>
    <col min="1046" max="1046" width="12.33203125" style="32" customWidth="1"/>
    <col min="1047" max="1280" width="9.21875" style="32"/>
    <col min="1281" max="1281" width="2.77734375" style="32" customWidth="1"/>
    <col min="1282" max="1282" width="10.44140625" style="32" customWidth="1"/>
    <col min="1283" max="1283" width="12.44140625" style="32" customWidth="1"/>
    <col min="1284" max="1284" width="9.44140625" style="32" customWidth="1"/>
    <col min="1285" max="1285" width="16.21875" style="32" customWidth="1"/>
    <col min="1286" max="1286" width="27.44140625" style="32" customWidth="1"/>
    <col min="1287" max="1287" width="11.21875" style="32" customWidth="1"/>
    <col min="1288" max="1288" width="4.77734375" style="32" customWidth="1"/>
    <col min="1289" max="1289" width="8.21875" style="32" customWidth="1"/>
    <col min="1290" max="1293" width="14.44140625" style="32" customWidth="1"/>
    <col min="1294" max="1296" width="17.109375" style="32" customWidth="1"/>
    <col min="1297" max="1297" width="12.5546875" style="32" customWidth="1"/>
    <col min="1298" max="1298" width="15.109375" style="32" customWidth="1"/>
    <col min="1299" max="1299" width="12.44140625" style="32" customWidth="1"/>
    <col min="1300" max="1300" width="11.6640625" style="32" customWidth="1"/>
    <col min="1301" max="1301" width="15.77734375" style="32" bestFit="1" customWidth="1"/>
    <col min="1302" max="1302" width="12.33203125" style="32" customWidth="1"/>
    <col min="1303" max="1536" width="9.21875" style="32"/>
    <col min="1537" max="1537" width="2.77734375" style="32" customWidth="1"/>
    <col min="1538" max="1538" width="10.44140625" style="32" customWidth="1"/>
    <col min="1539" max="1539" width="12.44140625" style="32" customWidth="1"/>
    <col min="1540" max="1540" width="9.44140625" style="32" customWidth="1"/>
    <col min="1541" max="1541" width="16.21875" style="32" customWidth="1"/>
    <col min="1542" max="1542" width="27.44140625" style="32" customWidth="1"/>
    <col min="1543" max="1543" width="11.21875" style="32" customWidth="1"/>
    <col min="1544" max="1544" width="4.77734375" style="32" customWidth="1"/>
    <col min="1545" max="1545" width="8.21875" style="32" customWidth="1"/>
    <col min="1546" max="1549" width="14.44140625" style="32" customWidth="1"/>
    <col min="1550" max="1552" width="17.109375" style="32" customWidth="1"/>
    <col min="1553" max="1553" width="12.5546875" style="32" customWidth="1"/>
    <col min="1554" max="1554" width="15.109375" style="32" customWidth="1"/>
    <col min="1555" max="1555" width="12.44140625" style="32" customWidth="1"/>
    <col min="1556" max="1556" width="11.6640625" style="32" customWidth="1"/>
    <col min="1557" max="1557" width="15.77734375" style="32" bestFit="1" customWidth="1"/>
    <col min="1558" max="1558" width="12.33203125" style="32" customWidth="1"/>
    <col min="1559" max="1792" width="9.21875" style="32"/>
    <col min="1793" max="1793" width="2.77734375" style="32" customWidth="1"/>
    <col min="1794" max="1794" width="10.44140625" style="32" customWidth="1"/>
    <col min="1795" max="1795" width="12.44140625" style="32" customWidth="1"/>
    <col min="1796" max="1796" width="9.44140625" style="32" customWidth="1"/>
    <col min="1797" max="1797" width="16.21875" style="32" customWidth="1"/>
    <col min="1798" max="1798" width="27.44140625" style="32" customWidth="1"/>
    <col min="1799" max="1799" width="11.21875" style="32" customWidth="1"/>
    <col min="1800" max="1800" width="4.77734375" style="32" customWidth="1"/>
    <col min="1801" max="1801" width="8.21875" style="32" customWidth="1"/>
    <col min="1802" max="1805" width="14.44140625" style="32" customWidth="1"/>
    <col min="1806" max="1808" width="17.109375" style="32" customWidth="1"/>
    <col min="1809" max="1809" width="12.5546875" style="32" customWidth="1"/>
    <col min="1810" max="1810" width="15.109375" style="32" customWidth="1"/>
    <col min="1811" max="1811" width="12.44140625" style="32" customWidth="1"/>
    <col min="1812" max="1812" width="11.6640625" style="32" customWidth="1"/>
    <col min="1813" max="1813" width="15.77734375" style="32" bestFit="1" customWidth="1"/>
    <col min="1814" max="1814" width="12.33203125" style="32" customWidth="1"/>
    <col min="1815" max="2048" width="9.21875" style="32"/>
    <col min="2049" max="2049" width="2.77734375" style="32" customWidth="1"/>
    <col min="2050" max="2050" width="10.44140625" style="32" customWidth="1"/>
    <col min="2051" max="2051" width="12.44140625" style="32" customWidth="1"/>
    <col min="2052" max="2052" width="9.44140625" style="32" customWidth="1"/>
    <col min="2053" max="2053" width="16.21875" style="32" customWidth="1"/>
    <col min="2054" max="2054" width="27.44140625" style="32" customWidth="1"/>
    <col min="2055" max="2055" width="11.21875" style="32" customWidth="1"/>
    <col min="2056" max="2056" width="4.77734375" style="32" customWidth="1"/>
    <col min="2057" max="2057" width="8.21875" style="32" customWidth="1"/>
    <col min="2058" max="2061" width="14.44140625" style="32" customWidth="1"/>
    <col min="2062" max="2064" width="17.109375" style="32" customWidth="1"/>
    <col min="2065" max="2065" width="12.5546875" style="32" customWidth="1"/>
    <col min="2066" max="2066" width="15.109375" style="32" customWidth="1"/>
    <col min="2067" max="2067" width="12.44140625" style="32" customWidth="1"/>
    <col min="2068" max="2068" width="11.6640625" style="32" customWidth="1"/>
    <col min="2069" max="2069" width="15.77734375" style="32" bestFit="1" customWidth="1"/>
    <col min="2070" max="2070" width="12.33203125" style="32" customWidth="1"/>
    <col min="2071" max="2304" width="9.21875" style="32"/>
    <col min="2305" max="2305" width="2.77734375" style="32" customWidth="1"/>
    <col min="2306" max="2306" width="10.44140625" style="32" customWidth="1"/>
    <col min="2307" max="2307" width="12.44140625" style="32" customWidth="1"/>
    <col min="2308" max="2308" width="9.44140625" style="32" customWidth="1"/>
    <col min="2309" max="2309" width="16.21875" style="32" customWidth="1"/>
    <col min="2310" max="2310" width="27.44140625" style="32" customWidth="1"/>
    <col min="2311" max="2311" width="11.21875" style="32" customWidth="1"/>
    <col min="2312" max="2312" width="4.77734375" style="32" customWidth="1"/>
    <col min="2313" max="2313" width="8.21875" style="32" customWidth="1"/>
    <col min="2314" max="2317" width="14.44140625" style="32" customWidth="1"/>
    <col min="2318" max="2320" width="17.109375" style="32" customWidth="1"/>
    <col min="2321" max="2321" width="12.5546875" style="32" customWidth="1"/>
    <col min="2322" max="2322" width="15.109375" style="32" customWidth="1"/>
    <col min="2323" max="2323" width="12.44140625" style="32" customWidth="1"/>
    <col min="2324" max="2324" width="11.6640625" style="32" customWidth="1"/>
    <col min="2325" max="2325" width="15.77734375" style="32" bestFit="1" customWidth="1"/>
    <col min="2326" max="2326" width="12.33203125" style="32" customWidth="1"/>
    <col min="2327" max="2560" width="9.21875" style="32"/>
    <col min="2561" max="2561" width="2.77734375" style="32" customWidth="1"/>
    <col min="2562" max="2562" width="10.44140625" style="32" customWidth="1"/>
    <col min="2563" max="2563" width="12.44140625" style="32" customWidth="1"/>
    <col min="2564" max="2564" width="9.44140625" style="32" customWidth="1"/>
    <col min="2565" max="2565" width="16.21875" style="32" customWidth="1"/>
    <col min="2566" max="2566" width="27.44140625" style="32" customWidth="1"/>
    <col min="2567" max="2567" width="11.21875" style="32" customWidth="1"/>
    <col min="2568" max="2568" width="4.77734375" style="32" customWidth="1"/>
    <col min="2569" max="2569" width="8.21875" style="32" customWidth="1"/>
    <col min="2570" max="2573" width="14.44140625" style="32" customWidth="1"/>
    <col min="2574" max="2576" width="17.109375" style="32" customWidth="1"/>
    <col min="2577" max="2577" width="12.5546875" style="32" customWidth="1"/>
    <col min="2578" max="2578" width="15.109375" style="32" customWidth="1"/>
    <col min="2579" max="2579" width="12.44140625" style="32" customWidth="1"/>
    <col min="2580" max="2580" width="11.6640625" style="32" customWidth="1"/>
    <col min="2581" max="2581" width="15.77734375" style="32" bestFit="1" customWidth="1"/>
    <col min="2582" max="2582" width="12.33203125" style="32" customWidth="1"/>
    <col min="2583" max="2816" width="9.21875" style="32"/>
    <col min="2817" max="2817" width="2.77734375" style="32" customWidth="1"/>
    <col min="2818" max="2818" width="10.44140625" style="32" customWidth="1"/>
    <col min="2819" max="2819" width="12.44140625" style="32" customWidth="1"/>
    <col min="2820" max="2820" width="9.44140625" style="32" customWidth="1"/>
    <col min="2821" max="2821" width="16.21875" style="32" customWidth="1"/>
    <col min="2822" max="2822" width="27.44140625" style="32" customWidth="1"/>
    <col min="2823" max="2823" width="11.21875" style="32" customWidth="1"/>
    <col min="2824" max="2824" width="4.77734375" style="32" customWidth="1"/>
    <col min="2825" max="2825" width="8.21875" style="32" customWidth="1"/>
    <col min="2826" max="2829" width="14.44140625" style="32" customWidth="1"/>
    <col min="2830" max="2832" width="17.109375" style="32" customWidth="1"/>
    <col min="2833" max="2833" width="12.5546875" style="32" customWidth="1"/>
    <col min="2834" max="2834" width="15.109375" style="32" customWidth="1"/>
    <col min="2835" max="2835" width="12.44140625" style="32" customWidth="1"/>
    <col min="2836" max="2836" width="11.6640625" style="32" customWidth="1"/>
    <col min="2837" max="2837" width="15.77734375" style="32" bestFit="1" customWidth="1"/>
    <col min="2838" max="2838" width="12.33203125" style="32" customWidth="1"/>
    <col min="2839" max="3072" width="9.21875" style="32"/>
    <col min="3073" max="3073" width="2.77734375" style="32" customWidth="1"/>
    <col min="3074" max="3074" width="10.44140625" style="32" customWidth="1"/>
    <col min="3075" max="3075" width="12.44140625" style="32" customWidth="1"/>
    <col min="3076" max="3076" width="9.44140625" style="32" customWidth="1"/>
    <col min="3077" max="3077" width="16.21875" style="32" customWidth="1"/>
    <col min="3078" max="3078" width="27.44140625" style="32" customWidth="1"/>
    <col min="3079" max="3079" width="11.21875" style="32" customWidth="1"/>
    <col min="3080" max="3080" width="4.77734375" style="32" customWidth="1"/>
    <col min="3081" max="3081" width="8.21875" style="32" customWidth="1"/>
    <col min="3082" max="3085" width="14.44140625" style="32" customWidth="1"/>
    <col min="3086" max="3088" width="17.109375" style="32" customWidth="1"/>
    <col min="3089" max="3089" width="12.5546875" style="32" customWidth="1"/>
    <col min="3090" max="3090" width="15.109375" style="32" customWidth="1"/>
    <col min="3091" max="3091" width="12.44140625" style="32" customWidth="1"/>
    <col min="3092" max="3092" width="11.6640625" style="32" customWidth="1"/>
    <col min="3093" max="3093" width="15.77734375" style="32" bestFit="1" customWidth="1"/>
    <col min="3094" max="3094" width="12.33203125" style="32" customWidth="1"/>
    <col min="3095" max="3328" width="9.21875" style="32"/>
    <col min="3329" max="3329" width="2.77734375" style="32" customWidth="1"/>
    <col min="3330" max="3330" width="10.44140625" style="32" customWidth="1"/>
    <col min="3331" max="3331" width="12.44140625" style="32" customWidth="1"/>
    <col min="3332" max="3332" width="9.44140625" style="32" customWidth="1"/>
    <col min="3333" max="3333" width="16.21875" style="32" customWidth="1"/>
    <col min="3334" max="3334" width="27.44140625" style="32" customWidth="1"/>
    <col min="3335" max="3335" width="11.21875" style="32" customWidth="1"/>
    <col min="3336" max="3336" width="4.77734375" style="32" customWidth="1"/>
    <col min="3337" max="3337" width="8.21875" style="32" customWidth="1"/>
    <col min="3338" max="3341" width="14.44140625" style="32" customWidth="1"/>
    <col min="3342" max="3344" width="17.109375" style="32" customWidth="1"/>
    <col min="3345" max="3345" width="12.5546875" style="32" customWidth="1"/>
    <col min="3346" max="3346" width="15.109375" style="32" customWidth="1"/>
    <col min="3347" max="3347" width="12.44140625" style="32" customWidth="1"/>
    <col min="3348" max="3348" width="11.6640625" style="32" customWidth="1"/>
    <col min="3349" max="3349" width="15.77734375" style="32" bestFit="1" customWidth="1"/>
    <col min="3350" max="3350" width="12.33203125" style="32" customWidth="1"/>
    <col min="3351" max="3584" width="9.21875" style="32"/>
    <col min="3585" max="3585" width="2.77734375" style="32" customWidth="1"/>
    <col min="3586" max="3586" width="10.44140625" style="32" customWidth="1"/>
    <col min="3587" max="3587" width="12.44140625" style="32" customWidth="1"/>
    <col min="3588" max="3588" width="9.44140625" style="32" customWidth="1"/>
    <col min="3589" max="3589" width="16.21875" style="32" customWidth="1"/>
    <col min="3590" max="3590" width="27.44140625" style="32" customWidth="1"/>
    <col min="3591" max="3591" width="11.21875" style="32" customWidth="1"/>
    <col min="3592" max="3592" width="4.77734375" style="32" customWidth="1"/>
    <col min="3593" max="3593" width="8.21875" style="32" customWidth="1"/>
    <col min="3594" max="3597" width="14.44140625" style="32" customWidth="1"/>
    <col min="3598" max="3600" width="17.109375" style="32" customWidth="1"/>
    <col min="3601" max="3601" width="12.5546875" style="32" customWidth="1"/>
    <col min="3602" max="3602" width="15.109375" style="32" customWidth="1"/>
    <col min="3603" max="3603" width="12.44140625" style="32" customWidth="1"/>
    <col min="3604" max="3604" width="11.6640625" style="32" customWidth="1"/>
    <col min="3605" max="3605" width="15.77734375" style="32" bestFit="1" customWidth="1"/>
    <col min="3606" max="3606" width="12.33203125" style="32" customWidth="1"/>
    <col min="3607" max="3840" width="9.21875" style="32"/>
    <col min="3841" max="3841" width="2.77734375" style="32" customWidth="1"/>
    <col min="3842" max="3842" width="10.44140625" style="32" customWidth="1"/>
    <col min="3843" max="3843" width="12.44140625" style="32" customWidth="1"/>
    <col min="3844" max="3844" width="9.44140625" style="32" customWidth="1"/>
    <col min="3845" max="3845" width="16.21875" style="32" customWidth="1"/>
    <col min="3846" max="3846" width="27.44140625" style="32" customWidth="1"/>
    <col min="3847" max="3847" width="11.21875" style="32" customWidth="1"/>
    <col min="3848" max="3848" width="4.77734375" style="32" customWidth="1"/>
    <col min="3849" max="3849" width="8.21875" style="32" customWidth="1"/>
    <col min="3850" max="3853" width="14.44140625" style="32" customWidth="1"/>
    <col min="3854" max="3856" width="17.109375" style="32" customWidth="1"/>
    <col min="3857" max="3857" width="12.5546875" style="32" customWidth="1"/>
    <col min="3858" max="3858" width="15.109375" style="32" customWidth="1"/>
    <col min="3859" max="3859" width="12.44140625" style="32" customWidth="1"/>
    <col min="3860" max="3860" width="11.6640625" style="32" customWidth="1"/>
    <col min="3861" max="3861" width="15.77734375" style="32" bestFit="1" customWidth="1"/>
    <col min="3862" max="3862" width="12.33203125" style="32" customWidth="1"/>
    <col min="3863" max="4096" width="9.21875" style="32"/>
    <col min="4097" max="4097" width="2.77734375" style="32" customWidth="1"/>
    <col min="4098" max="4098" width="10.44140625" style="32" customWidth="1"/>
    <col min="4099" max="4099" width="12.44140625" style="32" customWidth="1"/>
    <col min="4100" max="4100" width="9.44140625" style="32" customWidth="1"/>
    <col min="4101" max="4101" width="16.21875" style="32" customWidth="1"/>
    <col min="4102" max="4102" width="27.44140625" style="32" customWidth="1"/>
    <col min="4103" max="4103" width="11.21875" style="32" customWidth="1"/>
    <col min="4104" max="4104" width="4.77734375" style="32" customWidth="1"/>
    <col min="4105" max="4105" width="8.21875" style="32" customWidth="1"/>
    <col min="4106" max="4109" width="14.44140625" style="32" customWidth="1"/>
    <col min="4110" max="4112" width="17.109375" style="32" customWidth="1"/>
    <col min="4113" max="4113" width="12.5546875" style="32" customWidth="1"/>
    <col min="4114" max="4114" width="15.109375" style="32" customWidth="1"/>
    <col min="4115" max="4115" width="12.44140625" style="32" customWidth="1"/>
    <col min="4116" max="4116" width="11.6640625" style="32" customWidth="1"/>
    <col min="4117" max="4117" width="15.77734375" style="32" bestFit="1" customWidth="1"/>
    <col min="4118" max="4118" width="12.33203125" style="32" customWidth="1"/>
    <col min="4119" max="4352" width="9.21875" style="32"/>
    <col min="4353" max="4353" width="2.77734375" style="32" customWidth="1"/>
    <col min="4354" max="4354" width="10.44140625" style="32" customWidth="1"/>
    <col min="4355" max="4355" width="12.44140625" style="32" customWidth="1"/>
    <col min="4356" max="4356" width="9.44140625" style="32" customWidth="1"/>
    <col min="4357" max="4357" width="16.21875" style="32" customWidth="1"/>
    <col min="4358" max="4358" width="27.44140625" style="32" customWidth="1"/>
    <col min="4359" max="4359" width="11.21875" style="32" customWidth="1"/>
    <col min="4360" max="4360" width="4.77734375" style="32" customWidth="1"/>
    <col min="4361" max="4361" width="8.21875" style="32" customWidth="1"/>
    <col min="4362" max="4365" width="14.44140625" style="32" customWidth="1"/>
    <col min="4366" max="4368" width="17.109375" style="32" customWidth="1"/>
    <col min="4369" max="4369" width="12.5546875" style="32" customWidth="1"/>
    <col min="4370" max="4370" width="15.109375" style="32" customWidth="1"/>
    <col min="4371" max="4371" width="12.44140625" style="32" customWidth="1"/>
    <col min="4372" max="4372" width="11.6640625" style="32" customWidth="1"/>
    <col min="4373" max="4373" width="15.77734375" style="32" bestFit="1" customWidth="1"/>
    <col min="4374" max="4374" width="12.33203125" style="32" customWidth="1"/>
    <col min="4375" max="4608" width="9.21875" style="32"/>
    <col min="4609" max="4609" width="2.77734375" style="32" customWidth="1"/>
    <col min="4610" max="4610" width="10.44140625" style="32" customWidth="1"/>
    <col min="4611" max="4611" width="12.44140625" style="32" customWidth="1"/>
    <col min="4612" max="4612" width="9.44140625" style="32" customWidth="1"/>
    <col min="4613" max="4613" width="16.21875" style="32" customWidth="1"/>
    <col min="4614" max="4614" width="27.44140625" style="32" customWidth="1"/>
    <col min="4615" max="4615" width="11.21875" style="32" customWidth="1"/>
    <col min="4616" max="4616" width="4.77734375" style="32" customWidth="1"/>
    <col min="4617" max="4617" width="8.21875" style="32" customWidth="1"/>
    <col min="4618" max="4621" width="14.44140625" style="32" customWidth="1"/>
    <col min="4622" max="4624" width="17.109375" style="32" customWidth="1"/>
    <col min="4625" max="4625" width="12.5546875" style="32" customWidth="1"/>
    <col min="4626" max="4626" width="15.109375" style="32" customWidth="1"/>
    <col min="4627" max="4627" width="12.44140625" style="32" customWidth="1"/>
    <col min="4628" max="4628" width="11.6640625" style="32" customWidth="1"/>
    <col min="4629" max="4629" width="15.77734375" style="32" bestFit="1" customWidth="1"/>
    <col min="4630" max="4630" width="12.33203125" style="32" customWidth="1"/>
    <col min="4631" max="4864" width="9.21875" style="32"/>
    <col min="4865" max="4865" width="2.77734375" style="32" customWidth="1"/>
    <col min="4866" max="4866" width="10.44140625" style="32" customWidth="1"/>
    <col min="4867" max="4867" width="12.44140625" style="32" customWidth="1"/>
    <col min="4868" max="4868" width="9.44140625" style="32" customWidth="1"/>
    <col min="4869" max="4869" width="16.21875" style="32" customWidth="1"/>
    <col min="4870" max="4870" width="27.44140625" style="32" customWidth="1"/>
    <col min="4871" max="4871" width="11.21875" style="32" customWidth="1"/>
    <col min="4872" max="4872" width="4.77734375" style="32" customWidth="1"/>
    <col min="4873" max="4873" width="8.21875" style="32" customWidth="1"/>
    <col min="4874" max="4877" width="14.44140625" style="32" customWidth="1"/>
    <col min="4878" max="4880" width="17.109375" style="32" customWidth="1"/>
    <col min="4881" max="4881" width="12.5546875" style="32" customWidth="1"/>
    <col min="4882" max="4882" width="15.109375" style="32" customWidth="1"/>
    <col min="4883" max="4883" width="12.44140625" style="32" customWidth="1"/>
    <col min="4884" max="4884" width="11.6640625" style="32" customWidth="1"/>
    <col min="4885" max="4885" width="15.77734375" style="32" bestFit="1" customWidth="1"/>
    <col min="4886" max="4886" width="12.33203125" style="32" customWidth="1"/>
    <col min="4887" max="5120" width="9.21875" style="32"/>
    <col min="5121" max="5121" width="2.77734375" style="32" customWidth="1"/>
    <col min="5122" max="5122" width="10.44140625" style="32" customWidth="1"/>
    <col min="5123" max="5123" width="12.44140625" style="32" customWidth="1"/>
    <col min="5124" max="5124" width="9.44140625" style="32" customWidth="1"/>
    <col min="5125" max="5125" width="16.21875" style="32" customWidth="1"/>
    <col min="5126" max="5126" width="27.44140625" style="32" customWidth="1"/>
    <col min="5127" max="5127" width="11.21875" style="32" customWidth="1"/>
    <col min="5128" max="5128" width="4.77734375" style="32" customWidth="1"/>
    <col min="5129" max="5129" width="8.21875" style="32" customWidth="1"/>
    <col min="5130" max="5133" width="14.44140625" style="32" customWidth="1"/>
    <col min="5134" max="5136" width="17.109375" style="32" customWidth="1"/>
    <col min="5137" max="5137" width="12.5546875" style="32" customWidth="1"/>
    <col min="5138" max="5138" width="15.109375" style="32" customWidth="1"/>
    <col min="5139" max="5139" width="12.44140625" style="32" customWidth="1"/>
    <col min="5140" max="5140" width="11.6640625" style="32" customWidth="1"/>
    <col min="5141" max="5141" width="15.77734375" style="32" bestFit="1" customWidth="1"/>
    <col min="5142" max="5142" width="12.33203125" style="32" customWidth="1"/>
    <col min="5143" max="5376" width="9.21875" style="32"/>
    <col min="5377" max="5377" width="2.77734375" style="32" customWidth="1"/>
    <col min="5378" max="5378" width="10.44140625" style="32" customWidth="1"/>
    <col min="5379" max="5379" width="12.44140625" style="32" customWidth="1"/>
    <col min="5380" max="5380" width="9.44140625" style="32" customWidth="1"/>
    <col min="5381" max="5381" width="16.21875" style="32" customWidth="1"/>
    <col min="5382" max="5382" width="27.44140625" style="32" customWidth="1"/>
    <col min="5383" max="5383" width="11.21875" style="32" customWidth="1"/>
    <col min="5384" max="5384" width="4.77734375" style="32" customWidth="1"/>
    <col min="5385" max="5385" width="8.21875" style="32" customWidth="1"/>
    <col min="5386" max="5389" width="14.44140625" style="32" customWidth="1"/>
    <col min="5390" max="5392" width="17.109375" style="32" customWidth="1"/>
    <col min="5393" max="5393" width="12.5546875" style="32" customWidth="1"/>
    <col min="5394" max="5394" width="15.109375" style="32" customWidth="1"/>
    <col min="5395" max="5395" width="12.44140625" style="32" customWidth="1"/>
    <col min="5396" max="5396" width="11.6640625" style="32" customWidth="1"/>
    <col min="5397" max="5397" width="15.77734375" style="32" bestFit="1" customWidth="1"/>
    <col min="5398" max="5398" width="12.33203125" style="32" customWidth="1"/>
    <col min="5399" max="5632" width="9.21875" style="32"/>
    <col min="5633" max="5633" width="2.77734375" style="32" customWidth="1"/>
    <col min="5634" max="5634" width="10.44140625" style="32" customWidth="1"/>
    <col min="5635" max="5635" width="12.44140625" style="32" customWidth="1"/>
    <col min="5636" max="5636" width="9.44140625" style="32" customWidth="1"/>
    <col min="5637" max="5637" width="16.21875" style="32" customWidth="1"/>
    <col min="5638" max="5638" width="27.44140625" style="32" customWidth="1"/>
    <col min="5639" max="5639" width="11.21875" style="32" customWidth="1"/>
    <col min="5640" max="5640" width="4.77734375" style="32" customWidth="1"/>
    <col min="5641" max="5641" width="8.21875" style="32" customWidth="1"/>
    <col min="5642" max="5645" width="14.44140625" style="32" customWidth="1"/>
    <col min="5646" max="5648" width="17.109375" style="32" customWidth="1"/>
    <col min="5649" max="5649" width="12.5546875" style="32" customWidth="1"/>
    <col min="5650" max="5650" width="15.109375" style="32" customWidth="1"/>
    <col min="5651" max="5651" width="12.44140625" style="32" customWidth="1"/>
    <col min="5652" max="5652" width="11.6640625" style="32" customWidth="1"/>
    <col min="5653" max="5653" width="15.77734375" style="32" bestFit="1" customWidth="1"/>
    <col min="5654" max="5654" width="12.33203125" style="32" customWidth="1"/>
    <col min="5655" max="5888" width="9.21875" style="32"/>
    <col min="5889" max="5889" width="2.77734375" style="32" customWidth="1"/>
    <col min="5890" max="5890" width="10.44140625" style="32" customWidth="1"/>
    <col min="5891" max="5891" width="12.44140625" style="32" customWidth="1"/>
    <col min="5892" max="5892" width="9.44140625" style="32" customWidth="1"/>
    <col min="5893" max="5893" width="16.21875" style="32" customWidth="1"/>
    <col min="5894" max="5894" width="27.44140625" style="32" customWidth="1"/>
    <col min="5895" max="5895" width="11.21875" style="32" customWidth="1"/>
    <col min="5896" max="5896" width="4.77734375" style="32" customWidth="1"/>
    <col min="5897" max="5897" width="8.21875" style="32" customWidth="1"/>
    <col min="5898" max="5901" width="14.44140625" style="32" customWidth="1"/>
    <col min="5902" max="5904" width="17.109375" style="32" customWidth="1"/>
    <col min="5905" max="5905" width="12.5546875" style="32" customWidth="1"/>
    <col min="5906" max="5906" width="15.109375" style="32" customWidth="1"/>
    <col min="5907" max="5907" width="12.44140625" style="32" customWidth="1"/>
    <col min="5908" max="5908" width="11.6640625" style="32" customWidth="1"/>
    <col min="5909" max="5909" width="15.77734375" style="32" bestFit="1" customWidth="1"/>
    <col min="5910" max="5910" width="12.33203125" style="32" customWidth="1"/>
    <col min="5911" max="6144" width="9.21875" style="32"/>
    <col min="6145" max="6145" width="2.77734375" style="32" customWidth="1"/>
    <col min="6146" max="6146" width="10.44140625" style="32" customWidth="1"/>
    <col min="6147" max="6147" width="12.44140625" style="32" customWidth="1"/>
    <col min="6148" max="6148" width="9.44140625" style="32" customWidth="1"/>
    <col min="6149" max="6149" width="16.21875" style="32" customWidth="1"/>
    <col min="6150" max="6150" width="27.44140625" style="32" customWidth="1"/>
    <col min="6151" max="6151" width="11.21875" style="32" customWidth="1"/>
    <col min="6152" max="6152" width="4.77734375" style="32" customWidth="1"/>
    <col min="6153" max="6153" width="8.21875" style="32" customWidth="1"/>
    <col min="6154" max="6157" width="14.44140625" style="32" customWidth="1"/>
    <col min="6158" max="6160" width="17.109375" style="32" customWidth="1"/>
    <col min="6161" max="6161" width="12.5546875" style="32" customWidth="1"/>
    <col min="6162" max="6162" width="15.109375" style="32" customWidth="1"/>
    <col min="6163" max="6163" width="12.44140625" style="32" customWidth="1"/>
    <col min="6164" max="6164" width="11.6640625" style="32" customWidth="1"/>
    <col min="6165" max="6165" width="15.77734375" style="32" bestFit="1" customWidth="1"/>
    <col min="6166" max="6166" width="12.33203125" style="32" customWidth="1"/>
    <col min="6167" max="6400" width="9.21875" style="32"/>
    <col min="6401" max="6401" width="2.77734375" style="32" customWidth="1"/>
    <col min="6402" max="6402" width="10.44140625" style="32" customWidth="1"/>
    <col min="6403" max="6403" width="12.44140625" style="32" customWidth="1"/>
    <col min="6404" max="6404" width="9.44140625" style="32" customWidth="1"/>
    <col min="6405" max="6405" width="16.21875" style="32" customWidth="1"/>
    <col min="6406" max="6406" width="27.44140625" style="32" customWidth="1"/>
    <col min="6407" max="6407" width="11.21875" style="32" customWidth="1"/>
    <col min="6408" max="6408" width="4.77734375" style="32" customWidth="1"/>
    <col min="6409" max="6409" width="8.21875" style="32" customWidth="1"/>
    <col min="6410" max="6413" width="14.44140625" style="32" customWidth="1"/>
    <col min="6414" max="6416" width="17.109375" style="32" customWidth="1"/>
    <col min="6417" max="6417" width="12.5546875" style="32" customWidth="1"/>
    <col min="6418" max="6418" width="15.109375" style="32" customWidth="1"/>
    <col min="6419" max="6419" width="12.44140625" style="32" customWidth="1"/>
    <col min="6420" max="6420" width="11.6640625" style="32" customWidth="1"/>
    <col min="6421" max="6421" width="15.77734375" style="32" bestFit="1" customWidth="1"/>
    <col min="6422" max="6422" width="12.33203125" style="32" customWidth="1"/>
    <col min="6423" max="6656" width="9.21875" style="32"/>
    <col min="6657" max="6657" width="2.77734375" style="32" customWidth="1"/>
    <col min="6658" max="6658" width="10.44140625" style="32" customWidth="1"/>
    <col min="6659" max="6659" width="12.44140625" style="32" customWidth="1"/>
    <col min="6660" max="6660" width="9.44140625" style="32" customWidth="1"/>
    <col min="6661" max="6661" width="16.21875" style="32" customWidth="1"/>
    <col min="6662" max="6662" width="27.44140625" style="32" customWidth="1"/>
    <col min="6663" max="6663" width="11.21875" style="32" customWidth="1"/>
    <col min="6664" max="6664" width="4.77734375" style="32" customWidth="1"/>
    <col min="6665" max="6665" width="8.21875" style="32" customWidth="1"/>
    <col min="6666" max="6669" width="14.44140625" style="32" customWidth="1"/>
    <col min="6670" max="6672" width="17.109375" style="32" customWidth="1"/>
    <col min="6673" max="6673" width="12.5546875" style="32" customWidth="1"/>
    <col min="6674" max="6674" width="15.109375" style="32" customWidth="1"/>
    <col min="6675" max="6675" width="12.44140625" style="32" customWidth="1"/>
    <col min="6676" max="6676" width="11.6640625" style="32" customWidth="1"/>
    <col min="6677" max="6677" width="15.77734375" style="32" bestFit="1" customWidth="1"/>
    <col min="6678" max="6678" width="12.33203125" style="32" customWidth="1"/>
    <col min="6679" max="6912" width="9.21875" style="32"/>
    <col min="6913" max="6913" width="2.77734375" style="32" customWidth="1"/>
    <col min="6914" max="6914" width="10.44140625" style="32" customWidth="1"/>
    <col min="6915" max="6915" width="12.44140625" style="32" customWidth="1"/>
    <col min="6916" max="6916" width="9.44140625" style="32" customWidth="1"/>
    <col min="6917" max="6917" width="16.21875" style="32" customWidth="1"/>
    <col min="6918" max="6918" width="27.44140625" style="32" customWidth="1"/>
    <col min="6919" max="6919" width="11.21875" style="32" customWidth="1"/>
    <col min="6920" max="6920" width="4.77734375" style="32" customWidth="1"/>
    <col min="6921" max="6921" width="8.21875" style="32" customWidth="1"/>
    <col min="6922" max="6925" width="14.44140625" style="32" customWidth="1"/>
    <col min="6926" max="6928" width="17.109375" style="32" customWidth="1"/>
    <col min="6929" max="6929" width="12.5546875" style="32" customWidth="1"/>
    <col min="6930" max="6930" width="15.109375" style="32" customWidth="1"/>
    <col min="6931" max="6931" width="12.44140625" style="32" customWidth="1"/>
    <col min="6932" max="6932" width="11.6640625" style="32" customWidth="1"/>
    <col min="6933" max="6933" width="15.77734375" style="32" bestFit="1" customWidth="1"/>
    <col min="6934" max="6934" width="12.33203125" style="32" customWidth="1"/>
    <col min="6935" max="7168" width="9.21875" style="32"/>
    <col min="7169" max="7169" width="2.77734375" style="32" customWidth="1"/>
    <col min="7170" max="7170" width="10.44140625" style="32" customWidth="1"/>
    <col min="7171" max="7171" width="12.44140625" style="32" customWidth="1"/>
    <col min="7172" max="7172" width="9.44140625" style="32" customWidth="1"/>
    <col min="7173" max="7173" width="16.21875" style="32" customWidth="1"/>
    <col min="7174" max="7174" width="27.44140625" style="32" customWidth="1"/>
    <col min="7175" max="7175" width="11.21875" style="32" customWidth="1"/>
    <col min="7176" max="7176" width="4.77734375" style="32" customWidth="1"/>
    <col min="7177" max="7177" width="8.21875" style="32" customWidth="1"/>
    <col min="7178" max="7181" width="14.44140625" style="32" customWidth="1"/>
    <col min="7182" max="7184" width="17.109375" style="32" customWidth="1"/>
    <col min="7185" max="7185" width="12.5546875" style="32" customWidth="1"/>
    <col min="7186" max="7186" width="15.109375" style="32" customWidth="1"/>
    <col min="7187" max="7187" width="12.44140625" style="32" customWidth="1"/>
    <col min="7188" max="7188" width="11.6640625" style="32" customWidth="1"/>
    <col min="7189" max="7189" width="15.77734375" style="32" bestFit="1" customWidth="1"/>
    <col min="7190" max="7190" width="12.33203125" style="32" customWidth="1"/>
    <col min="7191" max="7424" width="9.21875" style="32"/>
    <col min="7425" max="7425" width="2.77734375" style="32" customWidth="1"/>
    <col min="7426" max="7426" width="10.44140625" style="32" customWidth="1"/>
    <col min="7427" max="7427" width="12.44140625" style="32" customWidth="1"/>
    <col min="7428" max="7428" width="9.44140625" style="32" customWidth="1"/>
    <col min="7429" max="7429" width="16.21875" style="32" customWidth="1"/>
    <col min="7430" max="7430" width="27.44140625" style="32" customWidth="1"/>
    <col min="7431" max="7431" width="11.21875" style="32" customWidth="1"/>
    <col min="7432" max="7432" width="4.77734375" style="32" customWidth="1"/>
    <col min="7433" max="7433" width="8.21875" style="32" customWidth="1"/>
    <col min="7434" max="7437" width="14.44140625" style="32" customWidth="1"/>
    <col min="7438" max="7440" width="17.109375" style="32" customWidth="1"/>
    <col min="7441" max="7441" width="12.5546875" style="32" customWidth="1"/>
    <col min="7442" max="7442" width="15.109375" style="32" customWidth="1"/>
    <col min="7443" max="7443" width="12.44140625" style="32" customWidth="1"/>
    <col min="7444" max="7444" width="11.6640625" style="32" customWidth="1"/>
    <col min="7445" max="7445" width="15.77734375" style="32" bestFit="1" customWidth="1"/>
    <col min="7446" max="7446" width="12.33203125" style="32" customWidth="1"/>
    <col min="7447" max="7680" width="9.21875" style="32"/>
    <col min="7681" max="7681" width="2.77734375" style="32" customWidth="1"/>
    <col min="7682" max="7682" width="10.44140625" style="32" customWidth="1"/>
    <col min="7683" max="7683" width="12.44140625" style="32" customWidth="1"/>
    <col min="7684" max="7684" width="9.44140625" style="32" customWidth="1"/>
    <col min="7685" max="7685" width="16.21875" style="32" customWidth="1"/>
    <col min="7686" max="7686" width="27.44140625" style="32" customWidth="1"/>
    <col min="7687" max="7687" width="11.21875" style="32" customWidth="1"/>
    <col min="7688" max="7688" width="4.77734375" style="32" customWidth="1"/>
    <col min="7689" max="7689" width="8.21875" style="32" customWidth="1"/>
    <col min="7690" max="7693" width="14.44140625" style="32" customWidth="1"/>
    <col min="7694" max="7696" width="17.109375" style="32" customWidth="1"/>
    <col min="7697" max="7697" width="12.5546875" style="32" customWidth="1"/>
    <col min="7698" max="7698" width="15.109375" style="32" customWidth="1"/>
    <col min="7699" max="7699" width="12.44140625" style="32" customWidth="1"/>
    <col min="7700" max="7700" width="11.6640625" style="32" customWidth="1"/>
    <col min="7701" max="7701" width="15.77734375" style="32" bestFit="1" customWidth="1"/>
    <col min="7702" max="7702" width="12.33203125" style="32" customWidth="1"/>
    <col min="7703" max="7936" width="9.21875" style="32"/>
    <col min="7937" max="7937" width="2.77734375" style="32" customWidth="1"/>
    <col min="7938" max="7938" width="10.44140625" style="32" customWidth="1"/>
    <col min="7939" max="7939" width="12.44140625" style="32" customWidth="1"/>
    <col min="7940" max="7940" width="9.44140625" style="32" customWidth="1"/>
    <col min="7941" max="7941" width="16.21875" style="32" customWidth="1"/>
    <col min="7942" max="7942" width="27.44140625" style="32" customWidth="1"/>
    <col min="7943" max="7943" width="11.21875" style="32" customWidth="1"/>
    <col min="7944" max="7944" width="4.77734375" style="32" customWidth="1"/>
    <col min="7945" max="7945" width="8.21875" style="32" customWidth="1"/>
    <col min="7946" max="7949" width="14.44140625" style="32" customWidth="1"/>
    <col min="7950" max="7952" width="17.109375" style="32" customWidth="1"/>
    <col min="7953" max="7953" width="12.5546875" style="32" customWidth="1"/>
    <col min="7954" max="7954" width="15.109375" style="32" customWidth="1"/>
    <col min="7955" max="7955" width="12.44140625" style="32" customWidth="1"/>
    <col min="7956" max="7956" width="11.6640625" style="32" customWidth="1"/>
    <col min="7957" max="7957" width="15.77734375" style="32" bestFit="1" customWidth="1"/>
    <col min="7958" max="7958" width="12.33203125" style="32" customWidth="1"/>
    <col min="7959" max="8192" width="9.21875" style="32"/>
    <col min="8193" max="8193" width="2.77734375" style="32" customWidth="1"/>
    <col min="8194" max="8194" width="10.44140625" style="32" customWidth="1"/>
    <col min="8195" max="8195" width="12.44140625" style="32" customWidth="1"/>
    <col min="8196" max="8196" width="9.44140625" style="32" customWidth="1"/>
    <col min="8197" max="8197" width="16.21875" style="32" customWidth="1"/>
    <col min="8198" max="8198" width="27.44140625" style="32" customWidth="1"/>
    <col min="8199" max="8199" width="11.21875" style="32" customWidth="1"/>
    <col min="8200" max="8200" width="4.77734375" style="32" customWidth="1"/>
    <col min="8201" max="8201" width="8.21875" style="32" customWidth="1"/>
    <col min="8202" max="8205" width="14.44140625" style="32" customWidth="1"/>
    <col min="8206" max="8208" width="17.109375" style="32" customWidth="1"/>
    <col min="8209" max="8209" width="12.5546875" style="32" customWidth="1"/>
    <col min="8210" max="8210" width="15.109375" style="32" customWidth="1"/>
    <col min="8211" max="8211" width="12.44140625" style="32" customWidth="1"/>
    <col min="8212" max="8212" width="11.6640625" style="32" customWidth="1"/>
    <col min="8213" max="8213" width="15.77734375" style="32" bestFit="1" customWidth="1"/>
    <col min="8214" max="8214" width="12.33203125" style="32" customWidth="1"/>
    <col min="8215" max="8448" width="9.21875" style="32"/>
    <col min="8449" max="8449" width="2.77734375" style="32" customWidth="1"/>
    <col min="8450" max="8450" width="10.44140625" style="32" customWidth="1"/>
    <col min="8451" max="8451" width="12.44140625" style="32" customWidth="1"/>
    <col min="8452" max="8452" width="9.44140625" style="32" customWidth="1"/>
    <col min="8453" max="8453" width="16.21875" style="32" customWidth="1"/>
    <col min="8454" max="8454" width="27.44140625" style="32" customWidth="1"/>
    <col min="8455" max="8455" width="11.21875" style="32" customWidth="1"/>
    <col min="8456" max="8456" width="4.77734375" style="32" customWidth="1"/>
    <col min="8457" max="8457" width="8.21875" style="32" customWidth="1"/>
    <col min="8458" max="8461" width="14.44140625" style="32" customWidth="1"/>
    <col min="8462" max="8464" width="17.109375" style="32" customWidth="1"/>
    <col min="8465" max="8465" width="12.5546875" style="32" customWidth="1"/>
    <col min="8466" max="8466" width="15.109375" style="32" customWidth="1"/>
    <col min="8467" max="8467" width="12.44140625" style="32" customWidth="1"/>
    <col min="8468" max="8468" width="11.6640625" style="32" customWidth="1"/>
    <col min="8469" max="8469" width="15.77734375" style="32" bestFit="1" customWidth="1"/>
    <col min="8470" max="8470" width="12.33203125" style="32" customWidth="1"/>
    <col min="8471" max="8704" width="9.21875" style="32"/>
    <col min="8705" max="8705" width="2.77734375" style="32" customWidth="1"/>
    <col min="8706" max="8706" width="10.44140625" style="32" customWidth="1"/>
    <col min="8707" max="8707" width="12.44140625" style="32" customWidth="1"/>
    <col min="8708" max="8708" width="9.44140625" style="32" customWidth="1"/>
    <col min="8709" max="8709" width="16.21875" style="32" customWidth="1"/>
    <col min="8710" max="8710" width="27.44140625" style="32" customWidth="1"/>
    <col min="8711" max="8711" width="11.21875" style="32" customWidth="1"/>
    <col min="8712" max="8712" width="4.77734375" style="32" customWidth="1"/>
    <col min="8713" max="8713" width="8.21875" style="32" customWidth="1"/>
    <col min="8714" max="8717" width="14.44140625" style="32" customWidth="1"/>
    <col min="8718" max="8720" width="17.109375" style="32" customWidth="1"/>
    <col min="8721" max="8721" width="12.5546875" style="32" customWidth="1"/>
    <col min="8722" max="8722" width="15.109375" style="32" customWidth="1"/>
    <col min="8723" max="8723" width="12.44140625" style="32" customWidth="1"/>
    <col min="8724" max="8724" width="11.6640625" style="32" customWidth="1"/>
    <col min="8725" max="8725" width="15.77734375" style="32" bestFit="1" customWidth="1"/>
    <col min="8726" max="8726" width="12.33203125" style="32" customWidth="1"/>
    <col min="8727" max="8960" width="9.21875" style="32"/>
    <col min="8961" max="8961" width="2.77734375" style="32" customWidth="1"/>
    <col min="8962" max="8962" width="10.44140625" style="32" customWidth="1"/>
    <col min="8963" max="8963" width="12.44140625" style="32" customWidth="1"/>
    <col min="8964" max="8964" width="9.44140625" style="32" customWidth="1"/>
    <col min="8965" max="8965" width="16.21875" style="32" customWidth="1"/>
    <col min="8966" max="8966" width="27.44140625" style="32" customWidth="1"/>
    <col min="8967" max="8967" width="11.21875" style="32" customWidth="1"/>
    <col min="8968" max="8968" width="4.77734375" style="32" customWidth="1"/>
    <col min="8969" max="8969" width="8.21875" style="32" customWidth="1"/>
    <col min="8970" max="8973" width="14.44140625" style="32" customWidth="1"/>
    <col min="8974" max="8976" width="17.109375" style="32" customWidth="1"/>
    <col min="8977" max="8977" width="12.5546875" style="32" customWidth="1"/>
    <col min="8978" max="8978" width="15.109375" style="32" customWidth="1"/>
    <col min="8979" max="8979" width="12.44140625" style="32" customWidth="1"/>
    <col min="8980" max="8980" width="11.6640625" style="32" customWidth="1"/>
    <col min="8981" max="8981" width="15.77734375" style="32" bestFit="1" customWidth="1"/>
    <col min="8982" max="8982" width="12.33203125" style="32" customWidth="1"/>
    <col min="8983" max="9216" width="9.21875" style="32"/>
    <col min="9217" max="9217" width="2.77734375" style="32" customWidth="1"/>
    <col min="9218" max="9218" width="10.44140625" style="32" customWidth="1"/>
    <col min="9219" max="9219" width="12.44140625" style="32" customWidth="1"/>
    <col min="9220" max="9220" width="9.44140625" style="32" customWidth="1"/>
    <col min="9221" max="9221" width="16.21875" style="32" customWidth="1"/>
    <col min="9222" max="9222" width="27.44140625" style="32" customWidth="1"/>
    <col min="9223" max="9223" width="11.21875" style="32" customWidth="1"/>
    <col min="9224" max="9224" width="4.77734375" style="32" customWidth="1"/>
    <col min="9225" max="9225" width="8.21875" style="32" customWidth="1"/>
    <col min="9226" max="9229" width="14.44140625" style="32" customWidth="1"/>
    <col min="9230" max="9232" width="17.109375" style="32" customWidth="1"/>
    <col min="9233" max="9233" width="12.5546875" style="32" customWidth="1"/>
    <col min="9234" max="9234" width="15.109375" style="32" customWidth="1"/>
    <col min="9235" max="9235" width="12.44140625" style="32" customWidth="1"/>
    <col min="9236" max="9236" width="11.6640625" style="32" customWidth="1"/>
    <col min="9237" max="9237" width="15.77734375" style="32" bestFit="1" customWidth="1"/>
    <col min="9238" max="9238" width="12.33203125" style="32" customWidth="1"/>
    <col min="9239" max="9472" width="9.21875" style="32"/>
    <col min="9473" max="9473" width="2.77734375" style="32" customWidth="1"/>
    <col min="9474" max="9474" width="10.44140625" style="32" customWidth="1"/>
    <col min="9475" max="9475" width="12.44140625" style="32" customWidth="1"/>
    <col min="9476" max="9476" width="9.44140625" style="32" customWidth="1"/>
    <col min="9477" max="9477" width="16.21875" style="32" customWidth="1"/>
    <col min="9478" max="9478" width="27.44140625" style="32" customWidth="1"/>
    <col min="9479" max="9479" width="11.21875" style="32" customWidth="1"/>
    <col min="9480" max="9480" width="4.77734375" style="32" customWidth="1"/>
    <col min="9481" max="9481" width="8.21875" style="32" customWidth="1"/>
    <col min="9482" max="9485" width="14.44140625" style="32" customWidth="1"/>
    <col min="9486" max="9488" width="17.109375" style="32" customWidth="1"/>
    <col min="9489" max="9489" width="12.5546875" style="32" customWidth="1"/>
    <col min="9490" max="9490" width="15.109375" style="32" customWidth="1"/>
    <col min="9491" max="9491" width="12.44140625" style="32" customWidth="1"/>
    <col min="9492" max="9492" width="11.6640625" style="32" customWidth="1"/>
    <col min="9493" max="9493" width="15.77734375" style="32" bestFit="1" customWidth="1"/>
    <col min="9494" max="9494" width="12.33203125" style="32" customWidth="1"/>
    <col min="9495" max="9728" width="9.21875" style="32"/>
    <col min="9729" max="9729" width="2.77734375" style="32" customWidth="1"/>
    <col min="9730" max="9730" width="10.44140625" style="32" customWidth="1"/>
    <col min="9731" max="9731" width="12.44140625" style="32" customWidth="1"/>
    <col min="9732" max="9732" width="9.44140625" style="32" customWidth="1"/>
    <col min="9733" max="9733" width="16.21875" style="32" customWidth="1"/>
    <col min="9734" max="9734" width="27.44140625" style="32" customWidth="1"/>
    <col min="9735" max="9735" width="11.21875" style="32" customWidth="1"/>
    <col min="9736" max="9736" width="4.77734375" style="32" customWidth="1"/>
    <col min="9737" max="9737" width="8.21875" style="32" customWidth="1"/>
    <col min="9738" max="9741" width="14.44140625" style="32" customWidth="1"/>
    <col min="9742" max="9744" width="17.109375" style="32" customWidth="1"/>
    <col min="9745" max="9745" width="12.5546875" style="32" customWidth="1"/>
    <col min="9746" max="9746" width="15.109375" style="32" customWidth="1"/>
    <col min="9747" max="9747" width="12.44140625" style="32" customWidth="1"/>
    <col min="9748" max="9748" width="11.6640625" style="32" customWidth="1"/>
    <col min="9749" max="9749" width="15.77734375" style="32" bestFit="1" customWidth="1"/>
    <col min="9750" max="9750" width="12.33203125" style="32" customWidth="1"/>
    <col min="9751" max="9984" width="9.21875" style="32"/>
    <col min="9985" max="9985" width="2.77734375" style="32" customWidth="1"/>
    <col min="9986" max="9986" width="10.44140625" style="32" customWidth="1"/>
    <col min="9987" max="9987" width="12.44140625" style="32" customWidth="1"/>
    <col min="9988" max="9988" width="9.44140625" style="32" customWidth="1"/>
    <col min="9989" max="9989" width="16.21875" style="32" customWidth="1"/>
    <col min="9990" max="9990" width="27.44140625" style="32" customWidth="1"/>
    <col min="9991" max="9991" width="11.21875" style="32" customWidth="1"/>
    <col min="9992" max="9992" width="4.77734375" style="32" customWidth="1"/>
    <col min="9993" max="9993" width="8.21875" style="32" customWidth="1"/>
    <col min="9994" max="9997" width="14.44140625" style="32" customWidth="1"/>
    <col min="9998" max="10000" width="17.109375" style="32" customWidth="1"/>
    <col min="10001" max="10001" width="12.5546875" style="32" customWidth="1"/>
    <col min="10002" max="10002" width="15.109375" style="32" customWidth="1"/>
    <col min="10003" max="10003" width="12.44140625" style="32" customWidth="1"/>
    <col min="10004" max="10004" width="11.6640625" style="32" customWidth="1"/>
    <col min="10005" max="10005" width="15.77734375" style="32" bestFit="1" customWidth="1"/>
    <col min="10006" max="10006" width="12.33203125" style="32" customWidth="1"/>
    <col min="10007" max="10240" width="9.21875" style="32"/>
    <col min="10241" max="10241" width="2.77734375" style="32" customWidth="1"/>
    <col min="10242" max="10242" width="10.44140625" style="32" customWidth="1"/>
    <col min="10243" max="10243" width="12.44140625" style="32" customWidth="1"/>
    <col min="10244" max="10244" width="9.44140625" style="32" customWidth="1"/>
    <col min="10245" max="10245" width="16.21875" style="32" customWidth="1"/>
    <col min="10246" max="10246" width="27.44140625" style="32" customWidth="1"/>
    <col min="10247" max="10247" width="11.21875" style="32" customWidth="1"/>
    <col min="10248" max="10248" width="4.77734375" style="32" customWidth="1"/>
    <col min="10249" max="10249" width="8.21875" style="32" customWidth="1"/>
    <col min="10250" max="10253" width="14.44140625" style="32" customWidth="1"/>
    <col min="10254" max="10256" width="17.109375" style="32" customWidth="1"/>
    <col min="10257" max="10257" width="12.5546875" style="32" customWidth="1"/>
    <col min="10258" max="10258" width="15.109375" style="32" customWidth="1"/>
    <col min="10259" max="10259" width="12.44140625" style="32" customWidth="1"/>
    <col min="10260" max="10260" width="11.6640625" style="32" customWidth="1"/>
    <col min="10261" max="10261" width="15.77734375" style="32" bestFit="1" customWidth="1"/>
    <col min="10262" max="10262" width="12.33203125" style="32" customWidth="1"/>
    <col min="10263" max="10496" width="9.21875" style="32"/>
    <col min="10497" max="10497" width="2.77734375" style="32" customWidth="1"/>
    <col min="10498" max="10498" width="10.44140625" style="32" customWidth="1"/>
    <col min="10499" max="10499" width="12.44140625" style="32" customWidth="1"/>
    <col min="10500" max="10500" width="9.44140625" style="32" customWidth="1"/>
    <col min="10501" max="10501" width="16.21875" style="32" customWidth="1"/>
    <col min="10502" max="10502" width="27.44140625" style="32" customWidth="1"/>
    <col min="10503" max="10503" width="11.21875" style="32" customWidth="1"/>
    <col min="10504" max="10504" width="4.77734375" style="32" customWidth="1"/>
    <col min="10505" max="10505" width="8.21875" style="32" customWidth="1"/>
    <col min="10506" max="10509" width="14.44140625" style="32" customWidth="1"/>
    <col min="10510" max="10512" width="17.109375" style="32" customWidth="1"/>
    <col min="10513" max="10513" width="12.5546875" style="32" customWidth="1"/>
    <col min="10514" max="10514" width="15.109375" style="32" customWidth="1"/>
    <col min="10515" max="10515" width="12.44140625" style="32" customWidth="1"/>
    <col min="10516" max="10516" width="11.6640625" style="32" customWidth="1"/>
    <col min="10517" max="10517" width="15.77734375" style="32" bestFit="1" customWidth="1"/>
    <col min="10518" max="10518" width="12.33203125" style="32" customWidth="1"/>
    <col min="10519" max="10752" width="9.21875" style="32"/>
    <col min="10753" max="10753" width="2.77734375" style="32" customWidth="1"/>
    <col min="10754" max="10754" width="10.44140625" style="32" customWidth="1"/>
    <col min="10755" max="10755" width="12.44140625" style="32" customWidth="1"/>
    <col min="10756" max="10756" width="9.44140625" style="32" customWidth="1"/>
    <col min="10757" max="10757" width="16.21875" style="32" customWidth="1"/>
    <col min="10758" max="10758" width="27.44140625" style="32" customWidth="1"/>
    <col min="10759" max="10759" width="11.21875" style="32" customWidth="1"/>
    <col min="10760" max="10760" width="4.77734375" style="32" customWidth="1"/>
    <col min="10761" max="10761" width="8.21875" style="32" customWidth="1"/>
    <col min="10762" max="10765" width="14.44140625" style="32" customWidth="1"/>
    <col min="10766" max="10768" width="17.109375" style="32" customWidth="1"/>
    <col min="10769" max="10769" width="12.5546875" style="32" customWidth="1"/>
    <col min="10770" max="10770" width="15.109375" style="32" customWidth="1"/>
    <col min="10771" max="10771" width="12.44140625" style="32" customWidth="1"/>
    <col min="10772" max="10772" width="11.6640625" style="32" customWidth="1"/>
    <col min="10773" max="10773" width="15.77734375" style="32" bestFit="1" customWidth="1"/>
    <col min="10774" max="10774" width="12.33203125" style="32" customWidth="1"/>
    <col min="10775" max="11008" width="9.21875" style="32"/>
    <col min="11009" max="11009" width="2.77734375" style="32" customWidth="1"/>
    <col min="11010" max="11010" width="10.44140625" style="32" customWidth="1"/>
    <col min="11011" max="11011" width="12.44140625" style="32" customWidth="1"/>
    <col min="11012" max="11012" width="9.44140625" style="32" customWidth="1"/>
    <col min="11013" max="11013" width="16.21875" style="32" customWidth="1"/>
    <col min="11014" max="11014" width="27.44140625" style="32" customWidth="1"/>
    <col min="11015" max="11015" width="11.21875" style="32" customWidth="1"/>
    <col min="11016" max="11016" width="4.77734375" style="32" customWidth="1"/>
    <col min="11017" max="11017" width="8.21875" style="32" customWidth="1"/>
    <col min="11018" max="11021" width="14.44140625" style="32" customWidth="1"/>
    <col min="11022" max="11024" width="17.109375" style="32" customWidth="1"/>
    <col min="11025" max="11025" width="12.5546875" style="32" customWidth="1"/>
    <col min="11026" max="11026" width="15.109375" style="32" customWidth="1"/>
    <col min="11027" max="11027" width="12.44140625" style="32" customWidth="1"/>
    <col min="11028" max="11028" width="11.6640625" style="32" customWidth="1"/>
    <col min="11029" max="11029" width="15.77734375" style="32" bestFit="1" customWidth="1"/>
    <col min="11030" max="11030" width="12.33203125" style="32" customWidth="1"/>
    <col min="11031" max="11264" width="9.21875" style="32"/>
    <col min="11265" max="11265" width="2.77734375" style="32" customWidth="1"/>
    <col min="11266" max="11266" width="10.44140625" style="32" customWidth="1"/>
    <col min="11267" max="11267" width="12.44140625" style="32" customWidth="1"/>
    <col min="11268" max="11268" width="9.44140625" style="32" customWidth="1"/>
    <col min="11269" max="11269" width="16.21875" style="32" customWidth="1"/>
    <col min="11270" max="11270" width="27.44140625" style="32" customWidth="1"/>
    <col min="11271" max="11271" width="11.21875" style="32" customWidth="1"/>
    <col min="11272" max="11272" width="4.77734375" style="32" customWidth="1"/>
    <col min="11273" max="11273" width="8.21875" style="32" customWidth="1"/>
    <col min="11274" max="11277" width="14.44140625" style="32" customWidth="1"/>
    <col min="11278" max="11280" width="17.109375" style="32" customWidth="1"/>
    <col min="11281" max="11281" width="12.5546875" style="32" customWidth="1"/>
    <col min="11282" max="11282" width="15.109375" style="32" customWidth="1"/>
    <col min="11283" max="11283" width="12.44140625" style="32" customWidth="1"/>
    <col min="11284" max="11284" width="11.6640625" style="32" customWidth="1"/>
    <col min="11285" max="11285" width="15.77734375" style="32" bestFit="1" customWidth="1"/>
    <col min="11286" max="11286" width="12.33203125" style="32" customWidth="1"/>
    <col min="11287" max="11520" width="9.21875" style="32"/>
    <col min="11521" max="11521" width="2.77734375" style="32" customWidth="1"/>
    <col min="11522" max="11522" width="10.44140625" style="32" customWidth="1"/>
    <col min="11523" max="11523" width="12.44140625" style="32" customWidth="1"/>
    <col min="11524" max="11524" width="9.44140625" style="32" customWidth="1"/>
    <col min="11525" max="11525" width="16.21875" style="32" customWidth="1"/>
    <col min="11526" max="11526" width="27.44140625" style="32" customWidth="1"/>
    <col min="11527" max="11527" width="11.21875" style="32" customWidth="1"/>
    <col min="11528" max="11528" width="4.77734375" style="32" customWidth="1"/>
    <col min="11529" max="11529" width="8.21875" style="32" customWidth="1"/>
    <col min="11530" max="11533" width="14.44140625" style="32" customWidth="1"/>
    <col min="11534" max="11536" width="17.109375" style="32" customWidth="1"/>
    <col min="11537" max="11537" width="12.5546875" style="32" customWidth="1"/>
    <col min="11538" max="11538" width="15.109375" style="32" customWidth="1"/>
    <col min="11539" max="11539" width="12.44140625" style="32" customWidth="1"/>
    <col min="11540" max="11540" width="11.6640625" style="32" customWidth="1"/>
    <col min="11541" max="11541" width="15.77734375" style="32" bestFit="1" customWidth="1"/>
    <col min="11542" max="11542" width="12.33203125" style="32" customWidth="1"/>
    <col min="11543" max="11776" width="9.21875" style="32"/>
    <col min="11777" max="11777" width="2.77734375" style="32" customWidth="1"/>
    <col min="11778" max="11778" width="10.44140625" style="32" customWidth="1"/>
    <col min="11779" max="11779" width="12.44140625" style="32" customWidth="1"/>
    <col min="11780" max="11780" width="9.44140625" style="32" customWidth="1"/>
    <col min="11781" max="11781" width="16.21875" style="32" customWidth="1"/>
    <col min="11782" max="11782" width="27.44140625" style="32" customWidth="1"/>
    <col min="11783" max="11783" width="11.21875" style="32" customWidth="1"/>
    <col min="11784" max="11784" width="4.77734375" style="32" customWidth="1"/>
    <col min="11785" max="11785" width="8.21875" style="32" customWidth="1"/>
    <col min="11786" max="11789" width="14.44140625" style="32" customWidth="1"/>
    <col min="11790" max="11792" width="17.109375" style="32" customWidth="1"/>
    <col min="11793" max="11793" width="12.5546875" style="32" customWidth="1"/>
    <col min="11794" max="11794" width="15.109375" style="32" customWidth="1"/>
    <col min="11795" max="11795" width="12.44140625" style="32" customWidth="1"/>
    <col min="11796" max="11796" width="11.6640625" style="32" customWidth="1"/>
    <col min="11797" max="11797" width="15.77734375" style="32" bestFit="1" customWidth="1"/>
    <col min="11798" max="11798" width="12.33203125" style="32" customWidth="1"/>
    <col min="11799" max="12032" width="9.21875" style="32"/>
    <col min="12033" max="12033" width="2.77734375" style="32" customWidth="1"/>
    <col min="12034" max="12034" width="10.44140625" style="32" customWidth="1"/>
    <col min="12035" max="12035" width="12.44140625" style="32" customWidth="1"/>
    <col min="12036" max="12036" width="9.44140625" style="32" customWidth="1"/>
    <col min="12037" max="12037" width="16.21875" style="32" customWidth="1"/>
    <col min="12038" max="12038" width="27.44140625" style="32" customWidth="1"/>
    <col min="12039" max="12039" width="11.21875" style="32" customWidth="1"/>
    <col min="12040" max="12040" width="4.77734375" style="32" customWidth="1"/>
    <col min="12041" max="12041" width="8.21875" style="32" customWidth="1"/>
    <col min="12042" max="12045" width="14.44140625" style="32" customWidth="1"/>
    <col min="12046" max="12048" width="17.109375" style="32" customWidth="1"/>
    <col min="12049" max="12049" width="12.5546875" style="32" customWidth="1"/>
    <col min="12050" max="12050" width="15.109375" style="32" customWidth="1"/>
    <col min="12051" max="12051" width="12.44140625" style="32" customWidth="1"/>
    <col min="12052" max="12052" width="11.6640625" style="32" customWidth="1"/>
    <col min="12053" max="12053" width="15.77734375" style="32" bestFit="1" customWidth="1"/>
    <col min="12054" max="12054" width="12.33203125" style="32" customWidth="1"/>
    <col min="12055" max="12288" width="9.21875" style="32"/>
    <col min="12289" max="12289" width="2.77734375" style="32" customWidth="1"/>
    <col min="12290" max="12290" width="10.44140625" style="32" customWidth="1"/>
    <col min="12291" max="12291" width="12.44140625" style="32" customWidth="1"/>
    <col min="12292" max="12292" width="9.44140625" style="32" customWidth="1"/>
    <col min="12293" max="12293" width="16.21875" style="32" customWidth="1"/>
    <col min="12294" max="12294" width="27.44140625" style="32" customWidth="1"/>
    <col min="12295" max="12295" width="11.21875" style="32" customWidth="1"/>
    <col min="12296" max="12296" width="4.77734375" style="32" customWidth="1"/>
    <col min="12297" max="12297" width="8.21875" style="32" customWidth="1"/>
    <col min="12298" max="12301" width="14.44140625" style="32" customWidth="1"/>
    <col min="12302" max="12304" width="17.109375" style="32" customWidth="1"/>
    <col min="12305" max="12305" width="12.5546875" style="32" customWidth="1"/>
    <col min="12306" max="12306" width="15.109375" style="32" customWidth="1"/>
    <col min="12307" max="12307" width="12.44140625" style="32" customWidth="1"/>
    <col min="12308" max="12308" width="11.6640625" style="32" customWidth="1"/>
    <col min="12309" max="12309" width="15.77734375" style="32" bestFit="1" customWidth="1"/>
    <col min="12310" max="12310" width="12.33203125" style="32" customWidth="1"/>
    <col min="12311" max="12544" width="9.21875" style="32"/>
    <col min="12545" max="12545" width="2.77734375" style="32" customWidth="1"/>
    <col min="12546" max="12546" width="10.44140625" style="32" customWidth="1"/>
    <col min="12547" max="12547" width="12.44140625" style="32" customWidth="1"/>
    <col min="12548" max="12548" width="9.44140625" style="32" customWidth="1"/>
    <col min="12549" max="12549" width="16.21875" style="32" customWidth="1"/>
    <col min="12550" max="12550" width="27.44140625" style="32" customWidth="1"/>
    <col min="12551" max="12551" width="11.21875" style="32" customWidth="1"/>
    <col min="12552" max="12552" width="4.77734375" style="32" customWidth="1"/>
    <col min="12553" max="12553" width="8.21875" style="32" customWidth="1"/>
    <col min="12554" max="12557" width="14.44140625" style="32" customWidth="1"/>
    <col min="12558" max="12560" width="17.109375" style="32" customWidth="1"/>
    <col min="12561" max="12561" width="12.5546875" style="32" customWidth="1"/>
    <col min="12562" max="12562" width="15.109375" style="32" customWidth="1"/>
    <col min="12563" max="12563" width="12.44140625" style="32" customWidth="1"/>
    <col min="12564" max="12564" width="11.6640625" style="32" customWidth="1"/>
    <col min="12565" max="12565" width="15.77734375" style="32" bestFit="1" customWidth="1"/>
    <col min="12566" max="12566" width="12.33203125" style="32" customWidth="1"/>
    <col min="12567" max="12800" width="9.21875" style="32"/>
    <col min="12801" max="12801" width="2.77734375" style="32" customWidth="1"/>
    <col min="12802" max="12802" width="10.44140625" style="32" customWidth="1"/>
    <col min="12803" max="12803" width="12.44140625" style="32" customWidth="1"/>
    <col min="12804" max="12804" width="9.44140625" style="32" customWidth="1"/>
    <col min="12805" max="12805" width="16.21875" style="32" customWidth="1"/>
    <col min="12806" max="12806" width="27.44140625" style="32" customWidth="1"/>
    <col min="12807" max="12807" width="11.21875" style="32" customWidth="1"/>
    <col min="12808" max="12808" width="4.77734375" style="32" customWidth="1"/>
    <col min="12809" max="12809" width="8.21875" style="32" customWidth="1"/>
    <col min="12810" max="12813" width="14.44140625" style="32" customWidth="1"/>
    <col min="12814" max="12816" width="17.109375" style="32" customWidth="1"/>
    <col min="12817" max="12817" width="12.5546875" style="32" customWidth="1"/>
    <col min="12818" max="12818" width="15.109375" style="32" customWidth="1"/>
    <col min="12819" max="12819" width="12.44140625" style="32" customWidth="1"/>
    <col min="12820" max="12820" width="11.6640625" style="32" customWidth="1"/>
    <col min="12821" max="12821" width="15.77734375" style="32" bestFit="1" customWidth="1"/>
    <col min="12822" max="12822" width="12.33203125" style="32" customWidth="1"/>
    <col min="12823" max="13056" width="9.21875" style="32"/>
    <col min="13057" max="13057" width="2.77734375" style="32" customWidth="1"/>
    <col min="13058" max="13058" width="10.44140625" style="32" customWidth="1"/>
    <col min="13059" max="13059" width="12.44140625" style="32" customWidth="1"/>
    <col min="13060" max="13060" width="9.44140625" style="32" customWidth="1"/>
    <col min="13061" max="13061" width="16.21875" style="32" customWidth="1"/>
    <col min="13062" max="13062" width="27.44140625" style="32" customWidth="1"/>
    <col min="13063" max="13063" width="11.21875" style="32" customWidth="1"/>
    <col min="13064" max="13064" width="4.77734375" style="32" customWidth="1"/>
    <col min="13065" max="13065" width="8.21875" style="32" customWidth="1"/>
    <col min="13066" max="13069" width="14.44140625" style="32" customWidth="1"/>
    <col min="13070" max="13072" width="17.109375" style="32" customWidth="1"/>
    <col min="13073" max="13073" width="12.5546875" style="32" customWidth="1"/>
    <col min="13074" max="13074" width="15.109375" style="32" customWidth="1"/>
    <col min="13075" max="13075" width="12.44140625" style="32" customWidth="1"/>
    <col min="13076" max="13076" width="11.6640625" style="32" customWidth="1"/>
    <col min="13077" max="13077" width="15.77734375" style="32" bestFit="1" customWidth="1"/>
    <col min="13078" max="13078" width="12.33203125" style="32" customWidth="1"/>
    <col min="13079" max="13312" width="9.21875" style="32"/>
    <col min="13313" max="13313" width="2.77734375" style="32" customWidth="1"/>
    <col min="13314" max="13314" width="10.44140625" style="32" customWidth="1"/>
    <col min="13315" max="13315" width="12.44140625" style="32" customWidth="1"/>
    <col min="13316" max="13316" width="9.44140625" style="32" customWidth="1"/>
    <col min="13317" max="13317" width="16.21875" style="32" customWidth="1"/>
    <col min="13318" max="13318" width="27.44140625" style="32" customWidth="1"/>
    <col min="13319" max="13319" width="11.21875" style="32" customWidth="1"/>
    <col min="13320" max="13320" width="4.77734375" style="32" customWidth="1"/>
    <col min="13321" max="13321" width="8.21875" style="32" customWidth="1"/>
    <col min="13322" max="13325" width="14.44140625" style="32" customWidth="1"/>
    <col min="13326" max="13328" width="17.109375" style="32" customWidth="1"/>
    <col min="13329" max="13329" width="12.5546875" style="32" customWidth="1"/>
    <col min="13330" max="13330" width="15.109375" style="32" customWidth="1"/>
    <col min="13331" max="13331" width="12.44140625" style="32" customWidth="1"/>
    <col min="13332" max="13332" width="11.6640625" style="32" customWidth="1"/>
    <col min="13333" max="13333" width="15.77734375" style="32" bestFit="1" customWidth="1"/>
    <col min="13334" max="13334" width="12.33203125" style="32" customWidth="1"/>
    <col min="13335" max="13568" width="9.21875" style="32"/>
    <col min="13569" max="13569" width="2.77734375" style="32" customWidth="1"/>
    <col min="13570" max="13570" width="10.44140625" style="32" customWidth="1"/>
    <col min="13571" max="13571" width="12.44140625" style="32" customWidth="1"/>
    <col min="13572" max="13572" width="9.44140625" style="32" customWidth="1"/>
    <col min="13573" max="13573" width="16.21875" style="32" customWidth="1"/>
    <col min="13574" max="13574" width="27.44140625" style="32" customWidth="1"/>
    <col min="13575" max="13575" width="11.21875" style="32" customWidth="1"/>
    <col min="13576" max="13576" width="4.77734375" style="32" customWidth="1"/>
    <col min="13577" max="13577" width="8.21875" style="32" customWidth="1"/>
    <col min="13578" max="13581" width="14.44140625" style="32" customWidth="1"/>
    <col min="13582" max="13584" width="17.109375" style="32" customWidth="1"/>
    <col min="13585" max="13585" width="12.5546875" style="32" customWidth="1"/>
    <col min="13586" max="13586" width="15.109375" style="32" customWidth="1"/>
    <col min="13587" max="13587" width="12.44140625" style="32" customWidth="1"/>
    <col min="13588" max="13588" width="11.6640625" style="32" customWidth="1"/>
    <col min="13589" max="13589" width="15.77734375" style="32" bestFit="1" customWidth="1"/>
    <col min="13590" max="13590" width="12.33203125" style="32" customWidth="1"/>
    <col min="13591" max="13824" width="9.21875" style="32"/>
    <col min="13825" max="13825" width="2.77734375" style="32" customWidth="1"/>
    <col min="13826" max="13826" width="10.44140625" style="32" customWidth="1"/>
    <col min="13827" max="13827" width="12.44140625" style="32" customWidth="1"/>
    <col min="13828" max="13828" width="9.44140625" style="32" customWidth="1"/>
    <col min="13829" max="13829" width="16.21875" style="32" customWidth="1"/>
    <col min="13830" max="13830" width="27.44140625" style="32" customWidth="1"/>
    <col min="13831" max="13831" width="11.21875" style="32" customWidth="1"/>
    <col min="13832" max="13832" width="4.77734375" style="32" customWidth="1"/>
    <col min="13833" max="13833" width="8.21875" style="32" customWidth="1"/>
    <col min="13834" max="13837" width="14.44140625" style="32" customWidth="1"/>
    <col min="13838" max="13840" width="17.109375" style="32" customWidth="1"/>
    <col min="13841" max="13841" width="12.5546875" style="32" customWidth="1"/>
    <col min="13842" max="13842" width="15.109375" style="32" customWidth="1"/>
    <col min="13843" max="13843" width="12.44140625" style="32" customWidth="1"/>
    <col min="13844" max="13844" width="11.6640625" style="32" customWidth="1"/>
    <col min="13845" max="13845" width="15.77734375" style="32" bestFit="1" customWidth="1"/>
    <col min="13846" max="13846" width="12.33203125" style="32" customWidth="1"/>
    <col min="13847" max="14080" width="9.21875" style="32"/>
    <col min="14081" max="14081" width="2.77734375" style="32" customWidth="1"/>
    <col min="14082" max="14082" width="10.44140625" style="32" customWidth="1"/>
    <col min="14083" max="14083" width="12.44140625" style="32" customWidth="1"/>
    <col min="14084" max="14084" width="9.44140625" style="32" customWidth="1"/>
    <col min="14085" max="14085" width="16.21875" style="32" customWidth="1"/>
    <col min="14086" max="14086" width="27.44140625" style="32" customWidth="1"/>
    <col min="14087" max="14087" width="11.21875" style="32" customWidth="1"/>
    <col min="14088" max="14088" width="4.77734375" style="32" customWidth="1"/>
    <col min="14089" max="14089" width="8.21875" style="32" customWidth="1"/>
    <col min="14090" max="14093" width="14.44140625" style="32" customWidth="1"/>
    <col min="14094" max="14096" width="17.109375" style="32" customWidth="1"/>
    <col min="14097" max="14097" width="12.5546875" style="32" customWidth="1"/>
    <col min="14098" max="14098" width="15.109375" style="32" customWidth="1"/>
    <col min="14099" max="14099" width="12.44140625" style="32" customWidth="1"/>
    <col min="14100" max="14100" width="11.6640625" style="32" customWidth="1"/>
    <col min="14101" max="14101" width="15.77734375" style="32" bestFit="1" customWidth="1"/>
    <col min="14102" max="14102" width="12.33203125" style="32" customWidth="1"/>
    <col min="14103" max="14336" width="9.21875" style="32"/>
    <col min="14337" max="14337" width="2.77734375" style="32" customWidth="1"/>
    <col min="14338" max="14338" width="10.44140625" style="32" customWidth="1"/>
    <col min="14339" max="14339" width="12.44140625" style="32" customWidth="1"/>
    <col min="14340" max="14340" width="9.44140625" style="32" customWidth="1"/>
    <col min="14341" max="14341" width="16.21875" style="32" customWidth="1"/>
    <col min="14342" max="14342" width="27.44140625" style="32" customWidth="1"/>
    <col min="14343" max="14343" width="11.21875" style="32" customWidth="1"/>
    <col min="14344" max="14344" width="4.77734375" style="32" customWidth="1"/>
    <col min="14345" max="14345" width="8.21875" style="32" customWidth="1"/>
    <col min="14346" max="14349" width="14.44140625" style="32" customWidth="1"/>
    <col min="14350" max="14352" width="17.109375" style="32" customWidth="1"/>
    <col min="14353" max="14353" width="12.5546875" style="32" customWidth="1"/>
    <col min="14354" max="14354" width="15.109375" style="32" customWidth="1"/>
    <col min="14355" max="14355" width="12.44140625" style="32" customWidth="1"/>
    <col min="14356" max="14356" width="11.6640625" style="32" customWidth="1"/>
    <col min="14357" max="14357" width="15.77734375" style="32" bestFit="1" customWidth="1"/>
    <col min="14358" max="14358" width="12.33203125" style="32" customWidth="1"/>
    <col min="14359" max="14592" width="9.21875" style="32"/>
    <col min="14593" max="14593" width="2.77734375" style="32" customWidth="1"/>
    <col min="14594" max="14594" width="10.44140625" style="32" customWidth="1"/>
    <col min="14595" max="14595" width="12.44140625" style="32" customWidth="1"/>
    <col min="14596" max="14596" width="9.44140625" style="32" customWidth="1"/>
    <col min="14597" max="14597" width="16.21875" style="32" customWidth="1"/>
    <col min="14598" max="14598" width="27.44140625" style="32" customWidth="1"/>
    <col min="14599" max="14599" width="11.21875" style="32" customWidth="1"/>
    <col min="14600" max="14600" width="4.77734375" style="32" customWidth="1"/>
    <col min="14601" max="14601" width="8.21875" style="32" customWidth="1"/>
    <col min="14602" max="14605" width="14.44140625" style="32" customWidth="1"/>
    <col min="14606" max="14608" width="17.109375" style="32" customWidth="1"/>
    <col min="14609" max="14609" width="12.5546875" style="32" customWidth="1"/>
    <col min="14610" max="14610" width="15.109375" style="32" customWidth="1"/>
    <col min="14611" max="14611" width="12.44140625" style="32" customWidth="1"/>
    <col min="14612" max="14612" width="11.6640625" style="32" customWidth="1"/>
    <col min="14613" max="14613" width="15.77734375" style="32" bestFit="1" customWidth="1"/>
    <col min="14614" max="14614" width="12.33203125" style="32" customWidth="1"/>
    <col min="14615" max="14848" width="9.21875" style="32"/>
    <col min="14849" max="14849" width="2.77734375" style="32" customWidth="1"/>
    <col min="14850" max="14850" width="10.44140625" style="32" customWidth="1"/>
    <col min="14851" max="14851" width="12.44140625" style="32" customWidth="1"/>
    <col min="14852" max="14852" width="9.44140625" style="32" customWidth="1"/>
    <col min="14853" max="14853" width="16.21875" style="32" customWidth="1"/>
    <col min="14854" max="14854" width="27.44140625" style="32" customWidth="1"/>
    <col min="14855" max="14855" width="11.21875" style="32" customWidth="1"/>
    <col min="14856" max="14856" width="4.77734375" style="32" customWidth="1"/>
    <col min="14857" max="14857" width="8.21875" style="32" customWidth="1"/>
    <col min="14858" max="14861" width="14.44140625" style="32" customWidth="1"/>
    <col min="14862" max="14864" width="17.109375" style="32" customWidth="1"/>
    <col min="14865" max="14865" width="12.5546875" style="32" customWidth="1"/>
    <col min="14866" max="14866" width="15.109375" style="32" customWidth="1"/>
    <col min="14867" max="14867" width="12.44140625" style="32" customWidth="1"/>
    <col min="14868" max="14868" width="11.6640625" style="32" customWidth="1"/>
    <col min="14869" max="14869" width="15.77734375" style="32" bestFit="1" customWidth="1"/>
    <col min="14870" max="14870" width="12.33203125" style="32" customWidth="1"/>
    <col min="14871" max="15104" width="9.21875" style="32"/>
    <col min="15105" max="15105" width="2.77734375" style="32" customWidth="1"/>
    <col min="15106" max="15106" width="10.44140625" style="32" customWidth="1"/>
    <col min="15107" max="15107" width="12.44140625" style="32" customWidth="1"/>
    <col min="15108" max="15108" width="9.44140625" style="32" customWidth="1"/>
    <col min="15109" max="15109" width="16.21875" style="32" customWidth="1"/>
    <col min="15110" max="15110" width="27.44140625" style="32" customWidth="1"/>
    <col min="15111" max="15111" width="11.21875" style="32" customWidth="1"/>
    <col min="15112" max="15112" width="4.77734375" style="32" customWidth="1"/>
    <col min="15113" max="15113" width="8.21875" style="32" customWidth="1"/>
    <col min="15114" max="15117" width="14.44140625" style="32" customWidth="1"/>
    <col min="15118" max="15120" width="17.109375" style="32" customWidth="1"/>
    <col min="15121" max="15121" width="12.5546875" style="32" customWidth="1"/>
    <col min="15122" max="15122" width="15.109375" style="32" customWidth="1"/>
    <col min="15123" max="15123" width="12.44140625" style="32" customWidth="1"/>
    <col min="15124" max="15124" width="11.6640625" style="32" customWidth="1"/>
    <col min="15125" max="15125" width="15.77734375" style="32" bestFit="1" customWidth="1"/>
    <col min="15126" max="15126" width="12.33203125" style="32" customWidth="1"/>
    <col min="15127" max="15360" width="9.21875" style="32"/>
    <col min="15361" max="15361" width="2.77734375" style="32" customWidth="1"/>
    <col min="15362" max="15362" width="10.44140625" style="32" customWidth="1"/>
    <col min="15363" max="15363" width="12.44140625" style="32" customWidth="1"/>
    <col min="15364" max="15364" width="9.44140625" style="32" customWidth="1"/>
    <col min="15365" max="15365" width="16.21875" style="32" customWidth="1"/>
    <col min="15366" max="15366" width="27.44140625" style="32" customWidth="1"/>
    <col min="15367" max="15367" width="11.21875" style="32" customWidth="1"/>
    <col min="15368" max="15368" width="4.77734375" style="32" customWidth="1"/>
    <col min="15369" max="15369" width="8.21875" style="32" customWidth="1"/>
    <col min="15370" max="15373" width="14.44140625" style="32" customWidth="1"/>
    <col min="15374" max="15376" width="17.109375" style="32" customWidth="1"/>
    <col min="15377" max="15377" width="12.5546875" style="32" customWidth="1"/>
    <col min="15378" max="15378" width="15.109375" style="32" customWidth="1"/>
    <col min="15379" max="15379" width="12.44140625" style="32" customWidth="1"/>
    <col min="15380" max="15380" width="11.6640625" style="32" customWidth="1"/>
    <col min="15381" max="15381" width="15.77734375" style="32" bestFit="1" customWidth="1"/>
    <col min="15382" max="15382" width="12.33203125" style="32" customWidth="1"/>
    <col min="15383" max="15616" width="9.21875" style="32"/>
    <col min="15617" max="15617" width="2.77734375" style="32" customWidth="1"/>
    <col min="15618" max="15618" width="10.44140625" style="32" customWidth="1"/>
    <col min="15619" max="15619" width="12.44140625" style="32" customWidth="1"/>
    <col min="15620" max="15620" width="9.44140625" style="32" customWidth="1"/>
    <col min="15621" max="15621" width="16.21875" style="32" customWidth="1"/>
    <col min="15622" max="15622" width="27.44140625" style="32" customWidth="1"/>
    <col min="15623" max="15623" width="11.21875" style="32" customWidth="1"/>
    <col min="15624" max="15624" width="4.77734375" style="32" customWidth="1"/>
    <col min="15625" max="15625" width="8.21875" style="32" customWidth="1"/>
    <col min="15626" max="15629" width="14.44140625" style="32" customWidth="1"/>
    <col min="15630" max="15632" width="17.109375" style="32" customWidth="1"/>
    <col min="15633" max="15633" width="12.5546875" style="32" customWidth="1"/>
    <col min="15634" max="15634" width="15.109375" style="32" customWidth="1"/>
    <col min="15635" max="15635" width="12.44140625" style="32" customWidth="1"/>
    <col min="15636" max="15636" width="11.6640625" style="32" customWidth="1"/>
    <col min="15637" max="15637" width="15.77734375" style="32" bestFit="1" customWidth="1"/>
    <col min="15638" max="15638" width="12.33203125" style="32" customWidth="1"/>
    <col min="15639" max="15872" width="9.21875" style="32"/>
    <col min="15873" max="15873" width="2.77734375" style="32" customWidth="1"/>
    <col min="15874" max="15874" width="10.44140625" style="32" customWidth="1"/>
    <col min="15875" max="15875" width="12.44140625" style="32" customWidth="1"/>
    <col min="15876" max="15876" width="9.44140625" style="32" customWidth="1"/>
    <col min="15877" max="15877" width="16.21875" style="32" customWidth="1"/>
    <col min="15878" max="15878" width="27.44140625" style="32" customWidth="1"/>
    <col min="15879" max="15879" width="11.21875" style="32" customWidth="1"/>
    <col min="15880" max="15880" width="4.77734375" style="32" customWidth="1"/>
    <col min="15881" max="15881" width="8.21875" style="32" customWidth="1"/>
    <col min="15882" max="15885" width="14.44140625" style="32" customWidth="1"/>
    <col min="15886" max="15888" width="17.109375" style="32" customWidth="1"/>
    <col min="15889" max="15889" width="12.5546875" style="32" customWidth="1"/>
    <col min="15890" max="15890" width="15.109375" style="32" customWidth="1"/>
    <col min="15891" max="15891" width="12.44140625" style="32" customWidth="1"/>
    <col min="15892" max="15892" width="11.6640625" style="32" customWidth="1"/>
    <col min="15893" max="15893" width="15.77734375" style="32" bestFit="1" customWidth="1"/>
    <col min="15894" max="15894" width="12.33203125" style="32" customWidth="1"/>
    <col min="15895" max="16128" width="9.21875" style="32"/>
    <col min="16129" max="16129" width="2.77734375" style="32" customWidth="1"/>
    <col min="16130" max="16130" width="10.44140625" style="32" customWidth="1"/>
    <col min="16131" max="16131" width="12.44140625" style="32" customWidth="1"/>
    <col min="16132" max="16132" width="9.44140625" style="32" customWidth="1"/>
    <col min="16133" max="16133" width="16.21875" style="32" customWidth="1"/>
    <col min="16134" max="16134" width="27.44140625" style="32" customWidth="1"/>
    <col min="16135" max="16135" width="11.21875" style="32" customWidth="1"/>
    <col min="16136" max="16136" width="4.77734375" style="32" customWidth="1"/>
    <col min="16137" max="16137" width="8.21875" style="32" customWidth="1"/>
    <col min="16138" max="16141" width="14.44140625" style="32" customWidth="1"/>
    <col min="16142" max="16144" width="17.109375" style="32" customWidth="1"/>
    <col min="16145" max="16145" width="12.5546875" style="32" customWidth="1"/>
    <col min="16146" max="16146" width="15.109375" style="32" customWidth="1"/>
    <col min="16147" max="16147" width="12.44140625" style="32" customWidth="1"/>
    <col min="16148" max="16148" width="11.6640625" style="32" customWidth="1"/>
    <col min="16149" max="16149" width="15.77734375" style="32" bestFit="1" customWidth="1"/>
    <col min="16150" max="16150" width="12.33203125" style="32" customWidth="1"/>
    <col min="16151" max="16384" width="9.21875" style="32"/>
  </cols>
  <sheetData>
    <row r="1" spans="1:22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spans="1:22" ht="18.75" customHeight="1">
      <c r="A2" s="31"/>
      <c r="B2" s="33"/>
      <c r="C2" s="34"/>
      <c r="D2" s="92" t="s">
        <v>77</v>
      </c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3" t="s">
        <v>78</v>
      </c>
      <c r="U2" s="76" t="s">
        <v>79</v>
      </c>
      <c r="V2" s="31"/>
    </row>
    <row r="3" spans="1:22" ht="38.4" customHeight="1">
      <c r="A3" s="31"/>
      <c r="B3" s="35"/>
      <c r="C3" s="36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3"/>
      <c r="U3" s="76"/>
      <c r="V3" s="31"/>
    </row>
    <row r="4" spans="1:22" ht="18.75" customHeight="1">
      <c r="A4" s="31"/>
      <c r="B4" s="35"/>
      <c r="C4" s="36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4" t="s">
        <v>80</v>
      </c>
      <c r="U4" s="95" t="s">
        <v>81</v>
      </c>
      <c r="V4" s="31"/>
    </row>
    <row r="5" spans="1:22" ht="18.75" customHeight="1">
      <c r="A5" s="31"/>
      <c r="B5" s="37"/>
      <c r="C5" s="38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4"/>
      <c r="U5" s="95"/>
      <c r="V5" s="31"/>
    </row>
    <row r="6" spans="1:22" ht="18" customHeight="1">
      <c r="A6" s="31"/>
      <c r="B6" s="77" t="s">
        <v>82</v>
      </c>
      <c r="C6" s="78"/>
      <c r="D6" s="96" t="s">
        <v>83</v>
      </c>
      <c r="E6" s="97"/>
      <c r="F6" s="97"/>
      <c r="G6" s="97"/>
      <c r="H6" s="97"/>
      <c r="I6" s="98"/>
      <c r="J6" s="105" t="s">
        <v>84</v>
      </c>
      <c r="K6" s="106" t="s">
        <v>85</v>
      </c>
      <c r="L6" s="106"/>
      <c r="M6" s="106"/>
      <c r="N6" s="106"/>
      <c r="O6" s="106"/>
      <c r="P6" s="106"/>
      <c r="Q6" s="106"/>
      <c r="R6" s="106"/>
      <c r="S6" s="106"/>
      <c r="T6" s="107"/>
      <c r="U6" s="108"/>
      <c r="V6" s="31"/>
    </row>
    <row r="7" spans="1:22">
      <c r="A7" s="31"/>
      <c r="B7" s="79"/>
      <c r="C7" s="80"/>
      <c r="D7" s="99"/>
      <c r="E7" s="100"/>
      <c r="F7" s="100"/>
      <c r="G7" s="100"/>
      <c r="H7" s="100"/>
      <c r="I7" s="101"/>
      <c r="J7" s="105"/>
      <c r="K7" s="106"/>
      <c r="L7" s="106"/>
      <c r="M7" s="106"/>
      <c r="N7" s="106"/>
      <c r="O7" s="106"/>
      <c r="P7" s="106"/>
      <c r="Q7" s="106"/>
      <c r="R7" s="106"/>
      <c r="S7" s="106"/>
      <c r="T7" s="109"/>
      <c r="U7" s="110"/>
      <c r="V7" s="31"/>
    </row>
    <row r="8" spans="1:22">
      <c r="A8" s="31"/>
      <c r="B8" s="81"/>
      <c r="C8" s="82"/>
      <c r="D8" s="102"/>
      <c r="E8" s="103"/>
      <c r="F8" s="103"/>
      <c r="G8" s="103"/>
      <c r="H8" s="103"/>
      <c r="I8" s="104"/>
      <c r="J8" s="105"/>
      <c r="K8" s="106"/>
      <c r="L8" s="106"/>
      <c r="M8" s="106"/>
      <c r="N8" s="106"/>
      <c r="O8" s="106"/>
      <c r="P8" s="106"/>
      <c r="Q8" s="106"/>
      <c r="R8" s="106"/>
      <c r="S8" s="106"/>
      <c r="T8" s="111"/>
      <c r="U8" s="112"/>
      <c r="V8" s="31"/>
    </row>
    <row r="9" spans="1:22" ht="15" customHeight="1">
      <c r="A9" s="31"/>
      <c r="B9" s="77" t="s">
        <v>86</v>
      </c>
      <c r="C9" s="78"/>
      <c r="D9" s="77" t="s">
        <v>87</v>
      </c>
      <c r="E9" s="83"/>
      <c r="F9" s="78"/>
      <c r="G9" s="70" t="s">
        <v>88</v>
      </c>
      <c r="H9" s="86"/>
      <c r="I9" s="87"/>
      <c r="J9" s="73" t="s">
        <v>31</v>
      </c>
      <c r="K9" s="73" t="s">
        <v>32</v>
      </c>
      <c r="L9" s="73" t="s">
        <v>89</v>
      </c>
      <c r="M9" s="73" t="s">
        <v>90</v>
      </c>
      <c r="N9" s="73" t="s">
        <v>91</v>
      </c>
      <c r="O9" s="73" t="s">
        <v>92</v>
      </c>
      <c r="P9" s="73" t="s">
        <v>93</v>
      </c>
      <c r="Q9" s="73" t="s">
        <v>94</v>
      </c>
      <c r="R9" s="73" t="s">
        <v>36</v>
      </c>
      <c r="S9" s="70" t="s">
        <v>37</v>
      </c>
      <c r="T9" s="73" t="s">
        <v>35</v>
      </c>
      <c r="U9" s="76" t="s">
        <v>38</v>
      </c>
      <c r="V9" s="31"/>
    </row>
    <row r="10" spans="1:22" ht="16.5" customHeight="1">
      <c r="A10" s="31"/>
      <c r="B10" s="79"/>
      <c r="C10" s="80"/>
      <c r="D10" s="79"/>
      <c r="E10" s="84"/>
      <c r="F10" s="80"/>
      <c r="G10" s="71"/>
      <c r="H10" s="88"/>
      <c r="I10" s="89"/>
      <c r="J10" s="74"/>
      <c r="K10" s="74"/>
      <c r="L10" s="74"/>
      <c r="M10" s="74"/>
      <c r="N10" s="74"/>
      <c r="O10" s="74"/>
      <c r="P10" s="74"/>
      <c r="Q10" s="74"/>
      <c r="R10" s="74"/>
      <c r="S10" s="71"/>
      <c r="T10" s="74"/>
      <c r="U10" s="76"/>
      <c r="V10" s="31"/>
    </row>
    <row r="11" spans="1:22" ht="30" customHeight="1">
      <c r="A11" s="31"/>
      <c r="B11" s="81"/>
      <c r="C11" s="82"/>
      <c r="D11" s="81"/>
      <c r="E11" s="85"/>
      <c r="F11" s="82"/>
      <c r="G11" s="72"/>
      <c r="H11" s="90"/>
      <c r="I11" s="91"/>
      <c r="J11" s="75"/>
      <c r="K11" s="75"/>
      <c r="L11" s="75"/>
      <c r="M11" s="75"/>
      <c r="N11" s="75"/>
      <c r="O11" s="75"/>
      <c r="P11" s="75"/>
      <c r="Q11" s="75"/>
      <c r="R11" s="75"/>
      <c r="S11" s="72"/>
      <c r="T11" s="75"/>
      <c r="U11" s="76"/>
      <c r="V11" s="31"/>
    </row>
    <row r="12" spans="1:22" ht="67.8" customHeight="1">
      <c r="A12" s="31"/>
      <c r="B12" s="66" t="s">
        <v>95</v>
      </c>
      <c r="C12" s="67"/>
      <c r="D12" s="68" t="s">
        <v>96</v>
      </c>
      <c r="E12" s="68"/>
      <c r="F12" s="68"/>
      <c r="G12" s="39" t="s">
        <v>97</v>
      </c>
      <c r="H12" s="69" t="s">
        <v>98</v>
      </c>
      <c r="I12" s="69"/>
      <c r="J12" s="40" t="s">
        <v>99</v>
      </c>
      <c r="K12" s="39" t="s">
        <v>97</v>
      </c>
      <c r="L12" s="41" t="s">
        <v>100</v>
      </c>
      <c r="M12" s="41" t="s">
        <v>100</v>
      </c>
      <c r="N12" s="42" t="s">
        <v>101</v>
      </c>
      <c r="O12" s="42" t="s">
        <v>102</v>
      </c>
      <c r="P12" s="39" t="s">
        <v>57</v>
      </c>
      <c r="Q12" s="39" t="s">
        <v>57</v>
      </c>
      <c r="R12" s="41" t="s">
        <v>103</v>
      </c>
      <c r="S12" s="41" t="s">
        <v>103</v>
      </c>
      <c r="T12" s="41" t="s">
        <v>103</v>
      </c>
      <c r="U12" s="41" t="s">
        <v>103</v>
      </c>
      <c r="V12" s="31"/>
    </row>
    <row r="13" spans="1:22" ht="63" customHeight="1">
      <c r="A13" s="31"/>
      <c r="B13" s="66"/>
      <c r="C13" s="67"/>
      <c r="D13" s="68"/>
      <c r="E13" s="68"/>
      <c r="F13" s="68"/>
      <c r="G13" s="39"/>
      <c r="H13" s="69"/>
      <c r="I13" s="69"/>
      <c r="J13" s="40"/>
      <c r="K13" s="39"/>
      <c r="L13" s="41"/>
      <c r="M13" s="41"/>
      <c r="N13" s="42"/>
      <c r="O13" s="42"/>
      <c r="P13" s="39"/>
      <c r="Q13" s="39"/>
      <c r="R13" s="43"/>
      <c r="S13" s="41"/>
      <c r="T13" s="44"/>
      <c r="U13" s="41"/>
      <c r="V13" s="31"/>
    </row>
    <row r="14" spans="1:22" ht="63" customHeight="1">
      <c r="A14" s="31"/>
      <c r="B14" s="66"/>
      <c r="C14" s="67"/>
      <c r="D14" s="68"/>
      <c r="E14" s="68"/>
      <c r="F14" s="68"/>
      <c r="G14" s="39"/>
      <c r="H14" s="69"/>
      <c r="I14" s="69"/>
      <c r="J14" s="40"/>
      <c r="K14" s="39"/>
      <c r="L14" s="41"/>
      <c r="M14" s="41"/>
      <c r="N14" s="42"/>
      <c r="O14" s="42"/>
      <c r="P14" s="39"/>
      <c r="Q14" s="39"/>
      <c r="R14" s="43"/>
      <c r="S14" s="41"/>
      <c r="T14" s="44"/>
      <c r="U14" s="41"/>
      <c r="V14" s="31"/>
    </row>
    <row r="15" spans="1:22">
      <c r="A15" s="31"/>
      <c r="B15" s="45" t="s">
        <v>104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7"/>
      <c r="V15" s="31"/>
    </row>
    <row r="16" spans="1:22">
      <c r="A16" s="31"/>
      <c r="B16" s="48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50"/>
      <c r="V16" s="31"/>
    </row>
    <row r="17" spans="1:22">
      <c r="A17" s="31"/>
      <c r="B17" s="48" t="s">
        <v>105</v>
      </c>
      <c r="C17" s="49"/>
      <c r="D17" s="49" t="s">
        <v>106</v>
      </c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50"/>
      <c r="V17" s="31"/>
    </row>
    <row r="18" spans="1:22" ht="14.25" customHeight="1">
      <c r="A18" s="31"/>
      <c r="B18" s="48" t="s">
        <v>107</v>
      </c>
      <c r="C18" s="49"/>
      <c r="D18" s="32" t="s">
        <v>108</v>
      </c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50"/>
      <c r="V18" s="31"/>
    </row>
    <row r="19" spans="1:22" ht="15" customHeight="1">
      <c r="A19" s="31"/>
      <c r="B19" s="48" t="s">
        <v>109</v>
      </c>
      <c r="C19" s="49"/>
      <c r="D19" s="49" t="s">
        <v>110</v>
      </c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50"/>
      <c r="V19" s="31"/>
    </row>
    <row r="20" spans="1:22" ht="12.75" customHeight="1">
      <c r="A20" s="31"/>
      <c r="B20" s="51" t="s">
        <v>111</v>
      </c>
      <c r="C20" s="49"/>
      <c r="D20" s="49" t="s">
        <v>112</v>
      </c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50"/>
      <c r="V20" s="31"/>
    </row>
    <row r="21" spans="1:22">
      <c r="A21" s="31"/>
      <c r="B21" s="52" t="s">
        <v>113</v>
      </c>
      <c r="C21" s="53"/>
      <c r="D21" s="53" t="s">
        <v>114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4"/>
      <c r="V21" s="31"/>
    </row>
    <row r="22" spans="1:22">
      <c r="A22" s="31"/>
      <c r="B22" s="33" t="str">
        <f>+D6</f>
        <v>Toyo Cushion Lanka                                                                                                                                         COMPANY   NO : PV 5492                                                                                                                                     400 Deans Road Colombo 10 01000 Sri Lanka 94112232939-Fixed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60"/>
      <c r="Q22" s="60"/>
      <c r="R22" s="60"/>
      <c r="S22" s="60"/>
      <c r="T22" s="60"/>
      <c r="U22" s="61"/>
      <c r="V22" s="31"/>
    </row>
    <row r="23" spans="1:22">
      <c r="A23" s="31"/>
      <c r="B23" s="35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62"/>
      <c r="Q23" s="62"/>
      <c r="R23" s="62"/>
      <c r="S23" s="62"/>
      <c r="T23" s="62"/>
      <c r="U23" s="63"/>
      <c r="V23" s="31"/>
    </row>
    <row r="24" spans="1:22">
      <c r="A24" s="31"/>
      <c r="B24" s="35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62"/>
      <c r="Q24" s="62"/>
      <c r="R24" s="62"/>
      <c r="S24" s="62"/>
      <c r="T24" s="62"/>
      <c r="U24" s="63"/>
      <c r="V24" s="31"/>
    </row>
    <row r="25" spans="1:22">
      <c r="A25" s="31"/>
      <c r="B25" s="35" t="s">
        <v>115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62"/>
      <c r="Q25" s="62"/>
      <c r="R25" s="62"/>
      <c r="S25" s="62"/>
      <c r="T25" s="62"/>
      <c r="U25" s="63"/>
      <c r="V25" s="31"/>
    </row>
    <row r="26" spans="1:22">
      <c r="A26" s="31"/>
      <c r="B26" s="37" t="s">
        <v>116</v>
      </c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64"/>
      <c r="Q26" s="64"/>
      <c r="R26" s="64"/>
      <c r="S26" s="64"/>
      <c r="T26" s="64"/>
      <c r="U26" s="65"/>
      <c r="V26" s="31"/>
    </row>
    <row r="27" spans="1:22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</sheetData>
  <mergeCells count="35">
    <mergeCell ref="B6:C8"/>
    <mergeCell ref="D6:I8"/>
    <mergeCell ref="J6:J8"/>
    <mergeCell ref="K6:S8"/>
    <mergeCell ref="T6:U8"/>
    <mergeCell ref="K9:K11"/>
    <mergeCell ref="L9:L11"/>
    <mergeCell ref="D2:S5"/>
    <mergeCell ref="T2:T3"/>
    <mergeCell ref="U2:U3"/>
    <mergeCell ref="T4:T5"/>
    <mergeCell ref="U4:U5"/>
    <mergeCell ref="S9:S11"/>
    <mergeCell ref="T9:T11"/>
    <mergeCell ref="U9:U11"/>
    <mergeCell ref="B12:C12"/>
    <mergeCell ref="D12:F12"/>
    <mergeCell ref="H12:I12"/>
    <mergeCell ref="M9:M11"/>
    <mergeCell ref="N9:N11"/>
    <mergeCell ref="O9:O11"/>
    <mergeCell ref="P9:P11"/>
    <mergeCell ref="Q9:Q11"/>
    <mergeCell ref="R9:R11"/>
    <mergeCell ref="B9:C11"/>
    <mergeCell ref="D9:F11"/>
    <mergeCell ref="G9:I11"/>
    <mergeCell ref="J9:J11"/>
    <mergeCell ref="P22:U26"/>
    <mergeCell ref="B13:C13"/>
    <mergeCell ref="D13:F13"/>
    <mergeCell ref="H13:I13"/>
    <mergeCell ref="B14:C14"/>
    <mergeCell ref="D14:F14"/>
    <mergeCell ref="H14:I14"/>
  </mergeCells>
  <pageMargins left="0.17" right="0.17" top="0.3" bottom="0.75" header="0.3" footer="0.3"/>
  <pageSetup scale="3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opLeftCell="J1" workbookViewId="0">
      <selection activeCell="L11" sqref="L11"/>
    </sheetView>
  </sheetViews>
  <sheetFormatPr defaultRowHeight="14.4"/>
  <cols>
    <col min="1" max="1" width="22" customWidth="1"/>
    <col min="2" max="2" width="29" customWidth="1"/>
    <col min="3" max="3" width="45" customWidth="1"/>
    <col min="4" max="5" width="21" customWidth="1"/>
    <col min="6" max="6" width="45" customWidth="1"/>
    <col min="7" max="7" width="26" customWidth="1"/>
    <col min="8" max="8" width="31.109375" bestFit="1" customWidth="1"/>
    <col min="9" max="10" width="26" customWidth="1"/>
    <col min="11" max="13" width="19" customWidth="1"/>
    <col min="14" max="14" width="13.5546875" customWidth="1"/>
    <col min="15" max="15" width="11.5546875" bestFit="1" customWidth="1"/>
    <col min="16" max="17" width="16.21875" bestFit="1" customWidth="1"/>
    <col min="18" max="18" width="20.88671875" bestFit="1" customWidth="1"/>
    <col min="19" max="19" width="19" customWidth="1"/>
    <col min="24" max="24" width="19.109375" bestFit="1" customWidth="1"/>
  </cols>
  <sheetData>
    <row r="1" spans="1:25" s="1" customFormat="1" ht="31.95" customHeight="1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</row>
    <row r="2" spans="1:25">
      <c r="R2" s="14" t="s">
        <v>40</v>
      </c>
      <c r="S2" s="14">
        <v>150000</v>
      </c>
      <c r="U2" s="14" t="s">
        <v>44</v>
      </c>
      <c r="V2" s="15" t="b">
        <v>0</v>
      </c>
      <c r="X2" s="14" t="s">
        <v>46</v>
      </c>
      <c r="Y2" s="15" t="b">
        <v>0</v>
      </c>
    </row>
    <row r="3" spans="1:25" ht="19.95" customHeight="1">
      <c r="A3" s="2" t="s">
        <v>1</v>
      </c>
      <c r="B3" s="3" t="s">
        <v>2</v>
      </c>
      <c r="C3" s="2" t="s">
        <v>3</v>
      </c>
      <c r="D3" s="4" t="s">
        <v>4</v>
      </c>
      <c r="R3" s="14" t="s">
        <v>41</v>
      </c>
      <c r="S3" s="14">
        <v>305</v>
      </c>
      <c r="U3" s="14" t="s">
        <v>45</v>
      </c>
      <c r="V3" s="15" t="b">
        <v>0</v>
      </c>
      <c r="X3" s="14" t="s">
        <v>47</v>
      </c>
      <c r="Y3" s="15" t="b">
        <v>0</v>
      </c>
    </row>
    <row r="4" spans="1:25" ht="19.95" customHeight="1">
      <c r="A4" s="2" t="s">
        <v>5</v>
      </c>
      <c r="B4" s="4" t="s">
        <v>6</v>
      </c>
      <c r="C4" s="2" t="s">
        <v>7</v>
      </c>
      <c r="D4" s="4" t="s">
        <v>8</v>
      </c>
      <c r="R4" s="14" t="s">
        <v>42</v>
      </c>
      <c r="S4" s="16">
        <v>0.4</v>
      </c>
      <c r="X4" s="14" t="s">
        <v>48</v>
      </c>
      <c r="Y4" s="15" t="b">
        <v>0</v>
      </c>
    </row>
    <row r="5" spans="1:25" ht="19.95" customHeight="1">
      <c r="A5" s="2"/>
      <c r="B5" s="4"/>
      <c r="C5" s="2"/>
      <c r="D5" s="4"/>
      <c r="R5" s="14" t="s">
        <v>43</v>
      </c>
      <c r="S5" s="14">
        <v>3500</v>
      </c>
      <c r="X5" s="14" t="s">
        <v>49</v>
      </c>
      <c r="Y5" s="15" t="b">
        <v>0</v>
      </c>
    </row>
    <row r="6" spans="1:25" ht="19.95" customHeight="1">
      <c r="A6" s="2"/>
      <c r="B6" s="4"/>
      <c r="C6" s="2"/>
      <c r="D6" s="4"/>
      <c r="R6" s="17" t="s">
        <v>53</v>
      </c>
      <c r="S6" s="18">
        <v>0.2</v>
      </c>
      <c r="X6" s="17"/>
      <c r="Y6" s="17"/>
    </row>
    <row r="7" spans="1:25" ht="19.95" customHeight="1">
      <c r="A7" s="2" t="s">
        <v>9</v>
      </c>
      <c r="B7" s="4" t="s">
        <v>10</v>
      </c>
      <c r="C7" s="2" t="s">
        <v>11</v>
      </c>
      <c r="D7" s="4" t="s">
        <v>12</v>
      </c>
    </row>
    <row r="8" spans="1:25" ht="19.95" customHeight="1">
      <c r="A8" s="2" t="s">
        <v>13</v>
      </c>
      <c r="B8" s="4" t="s">
        <v>14</v>
      </c>
      <c r="C8" s="2" t="s">
        <v>15</v>
      </c>
      <c r="D8" s="4" t="s">
        <v>16</v>
      </c>
      <c r="N8" s="128" t="s">
        <v>117</v>
      </c>
      <c r="O8" s="128"/>
      <c r="P8" s="128"/>
      <c r="Q8" s="128"/>
      <c r="R8" s="128"/>
      <c r="S8" s="128"/>
      <c r="T8" s="128"/>
      <c r="U8" s="128"/>
      <c r="V8" s="128"/>
    </row>
    <row r="9" spans="1:25" ht="28.8" customHeight="1">
      <c r="A9" s="19" t="s">
        <v>59</v>
      </c>
      <c r="B9" s="20" t="s">
        <v>60</v>
      </c>
      <c r="C9" s="23" t="s">
        <v>58</v>
      </c>
      <c r="D9" s="124" t="s">
        <v>75</v>
      </c>
      <c r="E9" s="125"/>
      <c r="F9" s="125"/>
      <c r="G9" s="125"/>
      <c r="H9" s="125"/>
      <c r="I9" s="125"/>
      <c r="J9" s="126"/>
      <c r="K9" s="25" t="s">
        <v>60</v>
      </c>
      <c r="L9" s="127" t="s">
        <v>76</v>
      </c>
      <c r="M9" s="127"/>
      <c r="N9" s="127"/>
      <c r="O9" s="127"/>
      <c r="P9" s="127"/>
      <c r="Q9" s="127"/>
      <c r="R9" s="127"/>
      <c r="S9" s="127"/>
      <c r="T9" s="127"/>
      <c r="U9" s="127"/>
      <c r="V9" s="127"/>
    </row>
    <row r="10" spans="1:25" ht="25.95" customHeight="1" thickBot="1">
      <c r="A10" s="5" t="s">
        <v>17</v>
      </c>
      <c r="B10" s="5" t="s">
        <v>18</v>
      </c>
      <c r="C10" s="5" t="s">
        <v>19</v>
      </c>
      <c r="D10" s="5" t="s">
        <v>20</v>
      </c>
      <c r="E10" s="5" t="s">
        <v>21</v>
      </c>
      <c r="F10" s="5" t="s">
        <v>22</v>
      </c>
      <c r="G10" s="5" t="s">
        <v>23</v>
      </c>
      <c r="H10" s="5" t="s">
        <v>33</v>
      </c>
      <c r="I10" s="12" t="s">
        <v>69</v>
      </c>
      <c r="J10" s="12" t="s">
        <v>34</v>
      </c>
      <c r="K10" s="26" t="s">
        <v>24</v>
      </c>
      <c r="L10" s="24" t="s">
        <v>63</v>
      </c>
      <c r="M10" s="24" t="s">
        <v>64</v>
      </c>
      <c r="N10" s="24" t="s">
        <v>55</v>
      </c>
      <c r="O10" s="24" t="s">
        <v>56</v>
      </c>
      <c r="P10" s="24" t="s">
        <v>37</v>
      </c>
      <c r="Q10" s="24" t="s">
        <v>38</v>
      </c>
      <c r="R10" s="24" t="s">
        <v>50</v>
      </c>
      <c r="S10" s="24" t="s">
        <v>54</v>
      </c>
      <c r="T10" s="24" t="s">
        <v>51</v>
      </c>
      <c r="U10" s="24" t="s">
        <v>52</v>
      </c>
      <c r="V10" s="24" t="s">
        <v>39</v>
      </c>
    </row>
    <row r="11" spans="1:25" ht="22.05" customHeight="1">
      <c r="A11" s="6">
        <v>1</v>
      </c>
      <c r="B11" s="7" t="s">
        <v>25</v>
      </c>
      <c r="C11" s="7" t="s">
        <v>26</v>
      </c>
      <c r="D11" s="8">
        <v>800</v>
      </c>
      <c r="E11" s="7" t="s">
        <v>27</v>
      </c>
      <c r="F11" s="7" t="s">
        <v>28</v>
      </c>
      <c r="G11" s="7" t="s">
        <v>29</v>
      </c>
      <c r="H11" s="7" t="s">
        <v>74</v>
      </c>
      <c r="I11" s="7">
        <v>16</v>
      </c>
      <c r="J11" s="7" t="s">
        <v>74</v>
      </c>
      <c r="K11" s="8" t="s">
        <v>30</v>
      </c>
      <c r="L11" s="27" t="s">
        <v>74</v>
      </c>
      <c r="M11" s="27" t="s">
        <v>74</v>
      </c>
      <c r="N11" s="28">
        <f>27/((57*58*51)/1000000)</f>
        <v>160.13664994128322</v>
      </c>
      <c r="O11" s="28">
        <f>67/((57*58*51)/1000000)-7</f>
        <v>390.3761313357769</v>
      </c>
      <c r="P11" s="28">
        <f>+O11*F11</f>
        <v>49968.144810979444</v>
      </c>
      <c r="Q11" s="29">
        <f>+N11*F11</f>
        <v>20497.491192484253</v>
      </c>
      <c r="R11" s="30">
        <f>((($S$2/P11+K11)/$S$3))/(1-$S$4)</f>
        <v>0.16246946737607221</v>
      </c>
      <c r="S11" s="30">
        <f>((($S$2/Q11+K11)/$S$3))/(1-$S$4)</f>
        <v>0.18605447404371586</v>
      </c>
      <c r="T11" s="30">
        <f>((($S$2/P11+K11)/$S$3))/(1-$S$4)+(S5/P11)</f>
        <v>0.23251409307190052</v>
      </c>
      <c r="U11" s="30">
        <f>((($S$2/Q11+K11)/$S$3))/(1-$S$4)+(S5/Q11)</f>
        <v>0.35680707821038254</v>
      </c>
      <c r="V11" s="30">
        <f>((K11/(S4)*(1+S6)))</f>
        <v>80.19</v>
      </c>
    </row>
    <row r="12" spans="1:25" ht="46.2" customHeight="1">
      <c r="A12" s="9"/>
      <c r="B12" s="10"/>
      <c r="C12" s="10"/>
      <c r="D12" s="11"/>
      <c r="E12" s="10"/>
      <c r="F12" s="10"/>
      <c r="G12" s="10"/>
      <c r="H12" s="10"/>
      <c r="I12" s="10"/>
      <c r="J12" s="10"/>
      <c r="K12" s="11"/>
      <c r="L12" s="22"/>
      <c r="M12" s="22"/>
      <c r="N12" s="118" t="s">
        <v>61</v>
      </c>
      <c r="O12" s="119"/>
      <c r="P12" s="119"/>
      <c r="Q12" s="119"/>
      <c r="R12" s="119"/>
      <c r="S12" s="119"/>
      <c r="T12" s="119"/>
      <c r="U12" s="119"/>
      <c r="V12" s="120"/>
    </row>
    <row r="13" spans="1:25" ht="22.8" customHeight="1">
      <c r="A13" s="6"/>
      <c r="B13" s="7"/>
      <c r="C13" s="7"/>
      <c r="D13" s="8"/>
      <c r="E13" s="7"/>
      <c r="F13" s="7"/>
      <c r="G13" s="7"/>
      <c r="H13" s="7"/>
      <c r="I13" s="7"/>
      <c r="J13" s="7"/>
      <c r="K13" s="8"/>
      <c r="L13" s="21"/>
      <c r="M13" s="21"/>
      <c r="N13" s="13" t="s">
        <v>57</v>
      </c>
      <c r="O13" s="13" t="s">
        <v>57</v>
      </c>
      <c r="P13" s="13" t="s">
        <v>67</v>
      </c>
      <c r="Q13" s="13" t="s">
        <v>68</v>
      </c>
      <c r="R13" s="122" t="s">
        <v>72</v>
      </c>
      <c r="S13" s="122"/>
      <c r="T13" s="122"/>
      <c r="U13" s="122"/>
      <c r="V13" s="122"/>
    </row>
    <row r="14" spans="1:25" ht="39" customHeight="1">
      <c r="N14" s="118" t="s">
        <v>70</v>
      </c>
      <c r="O14" s="119"/>
      <c r="P14" s="119"/>
      <c r="Q14" s="119"/>
      <c r="R14" s="119"/>
      <c r="S14" s="119"/>
      <c r="T14" s="119"/>
      <c r="U14" s="119"/>
      <c r="V14" s="120"/>
    </row>
    <row r="15" spans="1:25">
      <c r="N15" s="121" t="s">
        <v>62</v>
      </c>
      <c r="O15" s="121"/>
      <c r="P15" s="13" t="s">
        <v>65</v>
      </c>
      <c r="Q15" s="13" t="s">
        <v>66</v>
      </c>
      <c r="R15" s="122" t="s">
        <v>72</v>
      </c>
      <c r="S15" s="122"/>
      <c r="T15" s="122"/>
      <c r="U15" s="122"/>
      <c r="V15" s="122"/>
    </row>
    <row r="16" spans="1:25" ht="34.200000000000003" customHeight="1">
      <c r="N16" s="118" t="s">
        <v>71</v>
      </c>
      <c r="O16" s="119"/>
      <c r="P16" s="119"/>
      <c r="Q16" s="119"/>
      <c r="R16" s="119"/>
      <c r="S16" s="119"/>
      <c r="T16" s="119"/>
      <c r="U16" s="119"/>
      <c r="V16" s="120"/>
    </row>
    <row r="17" spans="14:22">
      <c r="N17" s="121" t="s">
        <v>62</v>
      </c>
      <c r="O17" s="121"/>
      <c r="P17" s="13" t="s">
        <v>57</v>
      </c>
      <c r="Q17" s="13" t="s">
        <v>57</v>
      </c>
      <c r="R17" s="122" t="s">
        <v>72</v>
      </c>
      <c r="S17" s="122"/>
      <c r="T17" s="122"/>
      <c r="U17" s="122"/>
      <c r="V17" s="122"/>
    </row>
  </sheetData>
  <mergeCells count="12">
    <mergeCell ref="A1:K1"/>
    <mergeCell ref="D9:J9"/>
    <mergeCell ref="N8:V8"/>
    <mergeCell ref="N15:O15"/>
    <mergeCell ref="N17:O17"/>
    <mergeCell ref="R13:V13"/>
    <mergeCell ref="R15:V15"/>
    <mergeCell ref="R17:V17"/>
    <mergeCell ref="L9:V9"/>
    <mergeCell ref="N12:V12"/>
    <mergeCell ref="N14:V14"/>
    <mergeCell ref="N16:V16"/>
  </mergeCells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8f4ba6ac-c9c0-4c5e-a531-736e3faaed7d}" enabled="1" method="Privileged" siteId="{2081ade3-b577-421e-9935-31961e4ff17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Quatation fomat Bedding</vt:lpstr>
      <vt:lpstr>Data entry for Bedding</vt:lpstr>
      <vt:lpstr>Quatation fomat horti</vt:lpstr>
      <vt:lpstr>Data entry for Horti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2026-09-14T05:54:12Z</dcterms:created>
  <dcterms:modified xsi:type="dcterms:W3CDTF">2026-09-14T11:58:37Z</dcterms:modified>
  <cp:category/>
</cp:coreProperties>
</file>