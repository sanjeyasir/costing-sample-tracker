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nura.Mohotti\Downloads\"/>
    </mc:Choice>
  </mc:AlternateContent>
  <xr:revisionPtr revIDLastSave="0" documentId="13_ncr:1_{5DBCE467-3EC4-4C2E-A198-60281EEDF837}" xr6:coauthVersionLast="47" xr6:coauthVersionMax="47" xr10:uidLastSave="{00000000-0000-0000-0000-000000000000}"/>
  <bookViews>
    <workbookView xWindow="-108" yWindow="-108" windowWidth="23256" windowHeight="12456" firstSheet="1" activeTab="1" xr2:uid="{CDE7FD64-0730-45E0-8FA3-BCDB73AC230E}"/>
  </bookViews>
  <sheets>
    <sheet name="Prospect pipeline (2)" sheetId="12" state="hidden" r:id="rId1"/>
    <sheet name="Sales SO wise Bud Vs Actu " sheetId="4" r:id="rId2"/>
    <sheet name="PPT output data" sheetId="13" r:id="rId3"/>
  </sheets>
  <definedNames>
    <definedName name="_xlnm._FilterDatabase" localSheetId="0" hidden="1">'Prospect pipeline (2)'!$A$1:$N$92</definedName>
    <definedName name="_xlnm._FilterDatabase" localSheetId="1" hidden="1">'Sales SO wise Bud Vs Actu '!$K$2:$K$497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6" i="4" l="1"/>
  <c r="P26" i="4"/>
  <c r="O26" i="4"/>
  <c r="K5" i="13"/>
  <c r="L5" i="13"/>
  <c r="M5" i="13"/>
  <c r="K6" i="13"/>
  <c r="L6" i="13"/>
  <c r="M6" i="13"/>
  <c r="L4" i="13"/>
  <c r="M4" i="13"/>
  <c r="K4" i="13"/>
  <c r="J487" i="4"/>
  <c r="I487" i="4"/>
  <c r="H487" i="4"/>
  <c r="E487" i="4"/>
  <c r="E489" i="4" s="1"/>
  <c r="D487" i="4"/>
  <c r="D489" i="4" s="1"/>
  <c r="J478" i="4"/>
  <c r="I478" i="4"/>
  <c r="H478" i="4"/>
  <c r="F487" i="4"/>
  <c r="K478" i="4"/>
  <c r="E478" i="4"/>
  <c r="E490" i="4" s="1"/>
  <c r="D478" i="4"/>
  <c r="D490" i="4" s="1"/>
  <c r="J474" i="4"/>
  <c r="N474" i="4" s="1"/>
  <c r="I474" i="4"/>
  <c r="H474" i="4"/>
  <c r="L474" i="4" s="1"/>
  <c r="E474" i="4"/>
  <c r="D474" i="4"/>
  <c r="J471" i="4"/>
  <c r="N471" i="4" s="1"/>
  <c r="I471" i="4"/>
  <c r="M471" i="4" s="1"/>
  <c r="H471" i="4"/>
  <c r="L471" i="4" s="1"/>
  <c r="E471" i="4"/>
  <c r="D471" i="4"/>
  <c r="C487" i="4"/>
  <c r="C489" i="4" s="1"/>
  <c r="C478" i="4"/>
  <c r="C490" i="4" s="1"/>
  <c r="C474" i="4"/>
  <c r="C471"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58" i="4"/>
  <c r="J431" i="4"/>
  <c r="I431" i="4"/>
  <c r="H431" i="4"/>
  <c r="E431" i="4"/>
  <c r="D431" i="4"/>
  <c r="J437" i="4"/>
  <c r="I437" i="4"/>
  <c r="H437" i="4"/>
  <c r="E437" i="4"/>
  <c r="D437" i="4"/>
  <c r="J441" i="4"/>
  <c r="J451" i="4" s="1"/>
  <c r="I441" i="4"/>
  <c r="I451" i="4" s="1"/>
  <c r="H441" i="4"/>
  <c r="H451" i="4" s="1"/>
  <c r="E441" i="4"/>
  <c r="E451" i="4" s="1"/>
  <c r="D441" i="4"/>
  <c r="D451" i="4" s="1"/>
  <c r="J448" i="4"/>
  <c r="J450" i="4" s="1"/>
  <c r="J452" i="4" s="1"/>
  <c r="K452" i="4" s="1"/>
  <c r="I448" i="4"/>
  <c r="I450" i="4" s="1"/>
  <c r="I452" i="4" s="1"/>
  <c r="M452" i="4" s="1"/>
  <c r="H448" i="4"/>
  <c r="H450" i="4" s="1"/>
  <c r="H452" i="4" s="1"/>
  <c r="E448" i="4"/>
  <c r="E450" i="4" s="1"/>
  <c r="D448" i="4"/>
  <c r="D450" i="4" s="1"/>
  <c r="D452" i="4" s="1"/>
  <c r="C448" i="4"/>
  <c r="C441" i="4"/>
  <c r="C437" i="4"/>
  <c r="L437" i="4" s="1"/>
  <c r="C431" i="4"/>
  <c r="L431" i="4" s="1"/>
  <c r="N448" i="4"/>
  <c r="M448" i="4"/>
  <c r="N441" i="4"/>
  <c r="M441" i="4"/>
  <c r="N437" i="4"/>
  <c r="M437" i="4"/>
  <c r="N431" i="4"/>
  <c r="M431"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5" i="4"/>
  <c r="K456" i="4"/>
  <c r="K457" i="4"/>
  <c r="K458" i="4"/>
  <c r="K459" i="4"/>
  <c r="K460" i="4"/>
  <c r="K461" i="4"/>
  <c r="K462" i="4"/>
  <c r="K463" i="4"/>
  <c r="K464" i="4"/>
  <c r="K465" i="4"/>
  <c r="K466" i="4"/>
  <c r="K467" i="4"/>
  <c r="K468" i="4"/>
  <c r="K469" i="4"/>
  <c r="K470" i="4"/>
  <c r="K471" i="4"/>
  <c r="K472" i="4"/>
  <c r="K473" i="4"/>
  <c r="K475" i="4"/>
  <c r="K476" i="4"/>
  <c r="K477" i="4"/>
  <c r="K479" i="4"/>
  <c r="K480" i="4"/>
  <c r="K481" i="4"/>
  <c r="K482" i="4"/>
  <c r="K483" i="4"/>
  <c r="K484" i="4"/>
  <c r="K485" i="4"/>
  <c r="K486" i="4"/>
  <c r="K487" i="4"/>
  <c r="K488" i="4"/>
  <c r="K422" i="4"/>
  <c r="K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21" i="4"/>
  <c r="K410" i="4"/>
  <c r="K409" i="4"/>
  <c r="K408" i="4"/>
  <c r="K407" i="4"/>
  <c r="K406" i="4"/>
  <c r="K405" i="4"/>
  <c r="K404" i="4"/>
  <c r="K403" i="4"/>
  <c r="K402" i="4"/>
  <c r="K400" i="4"/>
  <c r="K399" i="4"/>
  <c r="J411" i="4"/>
  <c r="I411" i="4"/>
  <c r="H411" i="4"/>
  <c r="D411" i="4"/>
  <c r="D413" i="4" s="1"/>
  <c r="E411" i="4"/>
  <c r="C411" i="4"/>
  <c r="C413" i="4" s="1"/>
  <c r="F410" i="4"/>
  <c r="F409" i="4"/>
  <c r="F408" i="4"/>
  <c r="F407" i="4"/>
  <c r="F406" i="4"/>
  <c r="F405" i="4"/>
  <c r="F404" i="4"/>
  <c r="F403" i="4"/>
  <c r="F402" i="4"/>
  <c r="K401" i="4"/>
  <c r="F400" i="4"/>
  <c r="F399" i="4"/>
  <c r="J401" i="4"/>
  <c r="I401" i="4"/>
  <c r="H401" i="4"/>
  <c r="E401" i="4"/>
  <c r="D401" i="4"/>
  <c r="C401" i="4"/>
  <c r="K397" i="4"/>
  <c r="K396" i="4"/>
  <c r="K395" i="4"/>
  <c r="K394" i="4"/>
  <c r="K393" i="4"/>
  <c r="K392" i="4"/>
  <c r="F393" i="4"/>
  <c r="F397" i="4"/>
  <c r="F396" i="4"/>
  <c r="F395" i="4"/>
  <c r="F394" i="4"/>
  <c r="F392" i="4"/>
  <c r="J398" i="4"/>
  <c r="I398" i="4"/>
  <c r="H398" i="4"/>
  <c r="D398" i="4"/>
  <c r="E398" i="4"/>
  <c r="F398" i="4" s="1"/>
  <c r="C398" i="4"/>
  <c r="J391" i="4"/>
  <c r="I391" i="4"/>
  <c r="H391" i="4"/>
  <c r="E391" i="4"/>
  <c r="D391" i="4"/>
  <c r="C391" i="4"/>
  <c r="K390" i="4"/>
  <c r="K389" i="4"/>
  <c r="K388" i="4"/>
  <c r="K387" i="4"/>
  <c r="K386" i="4"/>
  <c r="K385" i="4"/>
  <c r="K384" i="4"/>
  <c r="K383" i="4"/>
  <c r="F384" i="4"/>
  <c r="F385" i="4"/>
  <c r="F386" i="4"/>
  <c r="F387" i="4"/>
  <c r="F388" i="4"/>
  <c r="F389" i="4"/>
  <c r="F390" i="4"/>
  <c r="F383" i="4"/>
  <c r="D354" i="4"/>
  <c r="E354" i="4"/>
  <c r="H354" i="4"/>
  <c r="I354" i="4"/>
  <c r="J354" i="4"/>
  <c r="C354" i="4"/>
  <c r="D362" i="4"/>
  <c r="E362" i="4"/>
  <c r="H362" i="4"/>
  <c r="I362" i="4"/>
  <c r="J362" i="4"/>
  <c r="C362" i="4"/>
  <c r="D365" i="4"/>
  <c r="E365" i="4"/>
  <c r="H365" i="4"/>
  <c r="I365" i="4"/>
  <c r="J365" i="4"/>
  <c r="C365" i="4"/>
  <c r="L365" i="4" s="1"/>
  <c r="D373" i="4"/>
  <c r="D375" i="4" s="1"/>
  <c r="E373" i="4"/>
  <c r="H373" i="4"/>
  <c r="H375" i="4" s="1"/>
  <c r="I373" i="4"/>
  <c r="I375" i="4" s="1"/>
  <c r="J373" i="4"/>
  <c r="J375" i="4" s="1"/>
  <c r="C373" i="4"/>
  <c r="C375" i="4" s="1"/>
  <c r="N373" i="4"/>
  <c r="M373" i="4"/>
  <c r="L373" i="4"/>
  <c r="N365" i="4"/>
  <c r="M365" i="4"/>
  <c r="M362" i="4"/>
  <c r="L362" i="4"/>
  <c r="N354" i="4"/>
  <c r="M354" i="4"/>
  <c r="L354" i="4"/>
  <c r="K348" i="4"/>
  <c r="K349" i="4"/>
  <c r="K350" i="4"/>
  <c r="K351" i="4"/>
  <c r="K352" i="4"/>
  <c r="K353" i="4"/>
  <c r="K354" i="4"/>
  <c r="K355" i="4"/>
  <c r="K356" i="4"/>
  <c r="K357" i="4"/>
  <c r="K358" i="4"/>
  <c r="K359" i="4"/>
  <c r="K360" i="4"/>
  <c r="K361" i="4"/>
  <c r="K363" i="4"/>
  <c r="K364" i="4"/>
  <c r="K365" i="4"/>
  <c r="K366" i="4"/>
  <c r="K367" i="4"/>
  <c r="K368" i="4"/>
  <c r="K369" i="4"/>
  <c r="K370" i="4"/>
  <c r="K371" i="4"/>
  <c r="K372" i="4"/>
  <c r="K373" i="4"/>
  <c r="K374" i="4"/>
  <c r="F348" i="4"/>
  <c r="F349" i="4"/>
  <c r="F350" i="4"/>
  <c r="F351" i="4"/>
  <c r="F352" i="4"/>
  <c r="F353" i="4"/>
  <c r="F355" i="4"/>
  <c r="F356" i="4"/>
  <c r="F357" i="4"/>
  <c r="F358" i="4"/>
  <c r="F359" i="4"/>
  <c r="F360" i="4"/>
  <c r="F361" i="4"/>
  <c r="F363" i="4"/>
  <c r="F364" i="4"/>
  <c r="F366" i="4"/>
  <c r="F367" i="4"/>
  <c r="F368" i="4"/>
  <c r="F369" i="4"/>
  <c r="F370" i="4"/>
  <c r="F371" i="4"/>
  <c r="F372" i="4"/>
  <c r="K347" i="4"/>
  <c r="F347" i="4"/>
  <c r="F354" i="4" s="1"/>
  <c r="E340" i="4"/>
  <c r="F340" i="4" s="1"/>
  <c r="D340" i="4"/>
  <c r="C340" i="4"/>
  <c r="D327" i="4"/>
  <c r="E327" i="4"/>
  <c r="F327" i="4" s="1"/>
  <c r="C327" i="4"/>
  <c r="H327" i="4"/>
  <c r="K311" i="4"/>
  <c r="K315" i="4"/>
  <c r="K319" i="4"/>
  <c r="K320" i="4"/>
  <c r="K325" i="4"/>
  <c r="F310" i="4"/>
  <c r="F311" i="4"/>
  <c r="F312" i="4"/>
  <c r="F313" i="4"/>
  <c r="F314" i="4"/>
  <c r="F317" i="4"/>
  <c r="F318" i="4"/>
  <c r="F319" i="4"/>
  <c r="F320" i="4"/>
  <c r="F321" i="4"/>
  <c r="F322" i="4"/>
  <c r="F324" i="4"/>
  <c r="F326" i="4"/>
  <c r="F328" i="4"/>
  <c r="F329" i="4"/>
  <c r="F330" i="4"/>
  <c r="F331" i="4"/>
  <c r="F332" i="4"/>
  <c r="F333" i="4"/>
  <c r="F334" i="4"/>
  <c r="F335" i="4"/>
  <c r="F336" i="4"/>
  <c r="F337" i="4"/>
  <c r="F309" i="4"/>
  <c r="C323" i="4"/>
  <c r="C316" i="4"/>
  <c r="E323" i="4"/>
  <c r="D323" i="4"/>
  <c r="I323" i="4"/>
  <c r="M323" i="4" s="1"/>
  <c r="J323" i="4"/>
  <c r="H323" i="4"/>
  <c r="L323" i="4" s="1"/>
  <c r="H276" i="4"/>
  <c r="H192" i="4"/>
  <c r="K93" i="4"/>
  <c r="K286" i="4"/>
  <c r="K285" i="4"/>
  <c r="K280" i="4"/>
  <c r="K279" i="4"/>
  <c r="E301" i="4"/>
  <c r="D301" i="4"/>
  <c r="C301" i="4"/>
  <c r="H288" i="4"/>
  <c r="C288" i="4"/>
  <c r="I276" i="4"/>
  <c r="D276" i="4"/>
  <c r="E276" i="4"/>
  <c r="C276" i="4"/>
  <c r="F270" i="4"/>
  <c r="F271" i="4"/>
  <c r="F272" i="4"/>
  <c r="F273" i="4"/>
  <c r="F274" i="4"/>
  <c r="F275" i="4"/>
  <c r="F276" i="4"/>
  <c r="F278" i="4"/>
  <c r="F279" i="4"/>
  <c r="F281" i="4"/>
  <c r="F282" i="4"/>
  <c r="F283" i="4"/>
  <c r="F284" i="4"/>
  <c r="F287" i="4"/>
  <c r="F289" i="4"/>
  <c r="F290" i="4"/>
  <c r="F291" i="4"/>
  <c r="F292" i="4"/>
  <c r="F293" i="4"/>
  <c r="F294" i="4"/>
  <c r="F295" i="4"/>
  <c r="F296" i="4"/>
  <c r="F297" i="4"/>
  <c r="F299" i="4"/>
  <c r="F269" i="4"/>
  <c r="K258" i="4"/>
  <c r="K252" i="4"/>
  <c r="K251" i="4"/>
  <c r="K249" i="4"/>
  <c r="K245" i="4"/>
  <c r="K244" i="4"/>
  <c r="K243" i="4"/>
  <c r="K242" i="4"/>
  <c r="K237" i="4"/>
  <c r="K235" i="4"/>
  <c r="K234" i="4"/>
  <c r="K230" i="4"/>
  <c r="K229" i="4"/>
  <c r="K227" i="4"/>
  <c r="K226" i="4"/>
  <c r="K224" i="4"/>
  <c r="F225" i="4"/>
  <c r="F226" i="4"/>
  <c r="F228" i="4"/>
  <c r="F234" i="4"/>
  <c r="F236" i="4"/>
  <c r="F237" i="4"/>
  <c r="F238" i="4"/>
  <c r="F239" i="4"/>
  <c r="F241" i="4"/>
  <c r="F246" i="4"/>
  <c r="F247" i="4"/>
  <c r="F249" i="4"/>
  <c r="F250" i="4"/>
  <c r="F251" i="4"/>
  <c r="F252" i="4"/>
  <c r="F253" i="4"/>
  <c r="F254" i="4"/>
  <c r="F255" i="4"/>
  <c r="F256" i="4"/>
  <c r="F257" i="4"/>
  <c r="F223" i="4"/>
  <c r="F183" i="4"/>
  <c r="F184" i="4"/>
  <c r="F188" i="4"/>
  <c r="F189" i="4"/>
  <c r="F190" i="4"/>
  <c r="F191" i="4"/>
  <c r="F193" i="4"/>
  <c r="F196" i="4"/>
  <c r="F198" i="4"/>
  <c r="F200" i="4"/>
  <c r="F201" i="4"/>
  <c r="F203" i="4"/>
  <c r="F204" i="4"/>
  <c r="F206" i="4"/>
  <c r="F207" i="4"/>
  <c r="F208" i="4"/>
  <c r="F209" i="4"/>
  <c r="F182" i="4"/>
  <c r="F140" i="4"/>
  <c r="F141" i="4"/>
  <c r="F143" i="4"/>
  <c r="F144" i="4"/>
  <c r="F145" i="4"/>
  <c r="F152" i="4"/>
  <c r="F157" i="4"/>
  <c r="F158" i="4"/>
  <c r="F160" i="4"/>
  <c r="F162" i="4"/>
  <c r="F163" i="4"/>
  <c r="F165" i="4"/>
  <c r="F166" i="4"/>
  <c r="F167" i="4"/>
  <c r="F171" i="4"/>
  <c r="F92" i="4"/>
  <c r="F93" i="4"/>
  <c r="F94" i="4"/>
  <c r="F96" i="4"/>
  <c r="F100" i="4"/>
  <c r="F101" i="4"/>
  <c r="F102" i="4"/>
  <c r="F103" i="4"/>
  <c r="F104" i="4"/>
  <c r="F111" i="4"/>
  <c r="F112" i="4"/>
  <c r="F113" i="4"/>
  <c r="F114" i="4"/>
  <c r="F118" i="4"/>
  <c r="F119" i="4"/>
  <c r="F120" i="4"/>
  <c r="F121" i="4"/>
  <c r="F122" i="4"/>
  <c r="F123" i="4"/>
  <c r="F124" i="4"/>
  <c r="F125" i="4"/>
  <c r="F89" i="4"/>
  <c r="F46" i="4"/>
  <c r="F47" i="4"/>
  <c r="F48" i="4"/>
  <c r="F49" i="4"/>
  <c r="F54" i="4"/>
  <c r="F55" i="4"/>
  <c r="F56" i="4"/>
  <c r="F57" i="4"/>
  <c r="F58" i="4"/>
  <c r="F63" i="4"/>
  <c r="F64" i="4"/>
  <c r="F65" i="4"/>
  <c r="F66" i="4"/>
  <c r="F69" i="4"/>
  <c r="F71" i="4"/>
  <c r="F72" i="4"/>
  <c r="F73" i="4"/>
  <c r="F74" i="4"/>
  <c r="F75" i="4"/>
  <c r="F45" i="4"/>
  <c r="F43" i="4"/>
  <c r="F44" i="4"/>
  <c r="F7" i="4"/>
  <c r="F8" i="4"/>
  <c r="F9" i="4"/>
  <c r="F10" i="4"/>
  <c r="F11" i="4"/>
  <c r="F14" i="4"/>
  <c r="F18" i="4"/>
  <c r="F19" i="4"/>
  <c r="F20" i="4"/>
  <c r="F24" i="4"/>
  <c r="F25" i="4"/>
  <c r="F26" i="4"/>
  <c r="F27" i="4"/>
  <c r="F28" i="4"/>
  <c r="F29" i="4"/>
  <c r="F30" i="4"/>
  <c r="F31" i="4"/>
  <c r="F32" i="4"/>
  <c r="F6" i="4"/>
  <c r="K142" i="4"/>
  <c r="K146" i="4"/>
  <c r="K148" i="4"/>
  <c r="K149" i="4"/>
  <c r="K150" i="4"/>
  <c r="K153" i="4"/>
  <c r="K154" i="4"/>
  <c r="K155" i="4"/>
  <c r="K159" i="4"/>
  <c r="K161" i="4"/>
  <c r="K163" i="4"/>
  <c r="K164" i="4"/>
  <c r="K168" i="4"/>
  <c r="K169" i="4"/>
  <c r="K170" i="4"/>
  <c r="K171" i="4"/>
  <c r="K184" i="4"/>
  <c r="K185" i="4"/>
  <c r="K186" i="4"/>
  <c r="K187" i="4"/>
  <c r="K189" i="4"/>
  <c r="K191" i="4"/>
  <c r="K194" i="4"/>
  <c r="K196" i="4"/>
  <c r="K199" i="4"/>
  <c r="K200" i="4"/>
  <c r="K204" i="4"/>
  <c r="K205" i="4"/>
  <c r="K209" i="4"/>
  <c r="K210" i="4"/>
  <c r="K211" i="4"/>
  <c r="K212" i="4"/>
  <c r="C259" i="4"/>
  <c r="C261" i="4" s="1"/>
  <c r="C248" i="4"/>
  <c r="D240" i="4"/>
  <c r="C240" i="4"/>
  <c r="C233" i="4"/>
  <c r="H233" i="4"/>
  <c r="J259" i="4"/>
  <c r="I259" i="4"/>
  <c r="I261" i="4" s="1"/>
  <c r="D259" i="4"/>
  <c r="D261" i="4" s="1"/>
  <c r="E259" i="4"/>
  <c r="C202" i="4"/>
  <c r="C213" i="4"/>
  <c r="C215" i="4" s="1"/>
  <c r="C192" i="4"/>
  <c r="C172" i="4"/>
  <c r="C174" i="4" s="1"/>
  <c r="C156" i="4"/>
  <c r="C151" i="4"/>
  <c r="C147" i="4"/>
  <c r="H33" i="4"/>
  <c r="H22" i="4"/>
  <c r="H17" i="4"/>
  <c r="H13" i="4"/>
  <c r="J299" i="4"/>
  <c r="K289" i="4"/>
  <c r="K298" i="4"/>
  <c r="K293" i="4"/>
  <c r="K291" i="4"/>
  <c r="I299" i="4"/>
  <c r="H299" i="4"/>
  <c r="I316" i="4"/>
  <c r="J316" i="4"/>
  <c r="H316" i="4"/>
  <c r="I233" i="4"/>
  <c r="J233" i="4"/>
  <c r="K232" i="4"/>
  <c r="H259" i="4"/>
  <c r="H213" i="4"/>
  <c r="I337" i="4"/>
  <c r="I340" i="4" s="1"/>
  <c r="J337" i="4"/>
  <c r="J340" i="4" s="1"/>
  <c r="H337" i="4"/>
  <c r="H340" i="4" s="1"/>
  <c r="I327" i="4"/>
  <c r="J327" i="4"/>
  <c r="I248" i="4"/>
  <c r="J248" i="4"/>
  <c r="D248" i="4"/>
  <c r="E248" i="4"/>
  <c r="F248" i="4" s="1"/>
  <c r="H240" i="4"/>
  <c r="I240" i="4"/>
  <c r="J240" i="4"/>
  <c r="E240" i="4"/>
  <c r="D233" i="4"/>
  <c r="E233" i="4"/>
  <c r="F233" i="4" s="1"/>
  <c r="I213" i="4"/>
  <c r="J213" i="4"/>
  <c r="D213" i="4"/>
  <c r="D215" i="4" s="1"/>
  <c r="E213" i="4"/>
  <c r="I202" i="4"/>
  <c r="J202" i="4"/>
  <c r="K202" i="4" s="1"/>
  <c r="D202" i="4"/>
  <c r="E202" i="4"/>
  <c r="F202" i="4" s="1"/>
  <c r="D197" i="4"/>
  <c r="E197" i="4"/>
  <c r="F197" i="4" s="1"/>
  <c r="C197" i="4"/>
  <c r="J192" i="4"/>
  <c r="I192" i="4"/>
  <c r="D192" i="4"/>
  <c r="E192" i="4"/>
  <c r="F192" i="4" s="1"/>
  <c r="D316" i="4"/>
  <c r="E316" i="4"/>
  <c r="F316" i="4" s="1"/>
  <c r="I288" i="4"/>
  <c r="J288" i="4"/>
  <c r="K288" i="4" s="1"/>
  <c r="D288" i="4"/>
  <c r="E288" i="4"/>
  <c r="K287" i="4"/>
  <c r="J276" i="4"/>
  <c r="K231" i="4"/>
  <c r="K271" i="4"/>
  <c r="K274" i="4"/>
  <c r="K91" i="12"/>
  <c r="K90" i="12"/>
  <c r="F90" i="12"/>
  <c r="K89" i="12"/>
  <c r="F89" i="12"/>
  <c r="K88" i="12"/>
  <c r="F88" i="12"/>
  <c r="K87" i="12"/>
  <c r="F87" i="12"/>
  <c r="K86" i="12"/>
  <c r="F86" i="12"/>
  <c r="K85" i="12"/>
  <c r="F85" i="12"/>
  <c r="K84" i="12"/>
  <c r="F84" i="12"/>
  <c r="K83" i="12"/>
  <c r="F83" i="12"/>
  <c r="K82" i="12"/>
  <c r="F82" i="12"/>
  <c r="K81" i="12"/>
  <c r="F81" i="12"/>
  <c r="K80" i="12"/>
  <c r="F80" i="12"/>
  <c r="K79" i="12"/>
  <c r="F79" i="12"/>
  <c r="K78" i="12"/>
  <c r="F78" i="12"/>
  <c r="K77" i="12"/>
  <c r="F77" i="12"/>
  <c r="K76" i="12"/>
  <c r="F76" i="12"/>
  <c r="K75" i="12"/>
  <c r="F75" i="12"/>
  <c r="K74" i="12"/>
  <c r="F74" i="12"/>
  <c r="K73" i="12"/>
  <c r="F73" i="12"/>
  <c r="K72" i="12"/>
  <c r="F72" i="12"/>
  <c r="K71" i="12"/>
  <c r="F71" i="12"/>
  <c r="K70" i="12"/>
  <c r="K69" i="12"/>
  <c r="F69" i="12"/>
  <c r="K68" i="12"/>
  <c r="F68" i="12"/>
  <c r="K67" i="12"/>
  <c r="F67" i="12"/>
  <c r="K66" i="12"/>
  <c r="F66" i="12"/>
  <c r="K65" i="12"/>
  <c r="F65" i="12"/>
  <c r="K64" i="12"/>
  <c r="F64" i="12"/>
  <c r="K63" i="12"/>
  <c r="F63" i="12"/>
  <c r="K62" i="12"/>
  <c r="F62" i="12"/>
  <c r="K61" i="12"/>
  <c r="F61" i="12"/>
  <c r="K60" i="12"/>
  <c r="F60" i="12"/>
  <c r="K59" i="12"/>
  <c r="F59" i="12"/>
  <c r="K58" i="12"/>
  <c r="F58" i="12"/>
  <c r="K57" i="12"/>
  <c r="F57" i="12"/>
  <c r="K56" i="12"/>
  <c r="F56" i="12"/>
  <c r="K55" i="12"/>
  <c r="F55" i="12"/>
  <c r="K54" i="12"/>
  <c r="F54" i="12"/>
  <c r="K53" i="12"/>
  <c r="F53" i="12"/>
  <c r="K52" i="12"/>
  <c r="F52" i="12"/>
  <c r="K51" i="12"/>
  <c r="F51" i="12"/>
  <c r="K50" i="12"/>
  <c r="F50" i="12"/>
  <c r="K49" i="12"/>
  <c r="F49" i="12"/>
  <c r="K48" i="12"/>
  <c r="F48" i="12"/>
  <c r="K47" i="12"/>
  <c r="F47" i="12"/>
  <c r="K46" i="12"/>
  <c r="F46" i="12"/>
  <c r="K45" i="12"/>
  <c r="F45" i="12"/>
  <c r="K44" i="12"/>
  <c r="F44" i="12"/>
  <c r="K43" i="12"/>
  <c r="F43" i="12"/>
  <c r="K42" i="12"/>
  <c r="F42" i="12"/>
  <c r="K41" i="12"/>
  <c r="F41" i="12"/>
  <c r="K40" i="12"/>
  <c r="F40" i="12"/>
  <c r="K39" i="12"/>
  <c r="F39" i="12"/>
  <c r="K38" i="12"/>
  <c r="F38" i="12"/>
  <c r="K37" i="12"/>
  <c r="F37" i="12"/>
  <c r="K36" i="12"/>
  <c r="F36" i="12"/>
  <c r="K35" i="12"/>
  <c r="F35" i="12"/>
  <c r="K34" i="12"/>
  <c r="F34" i="12"/>
  <c r="K33" i="12"/>
  <c r="F33" i="12"/>
  <c r="K32" i="12"/>
  <c r="F32" i="12"/>
  <c r="K31" i="12"/>
  <c r="K30" i="12"/>
  <c r="F30" i="12"/>
  <c r="K29" i="12"/>
  <c r="F29" i="12"/>
  <c r="K28" i="12"/>
  <c r="F28" i="12"/>
  <c r="K27" i="12"/>
  <c r="F27" i="12"/>
  <c r="K26" i="12"/>
  <c r="F26" i="12"/>
  <c r="K25" i="12"/>
  <c r="F25" i="12"/>
  <c r="K24" i="12"/>
  <c r="F24" i="12"/>
  <c r="K23" i="12"/>
  <c r="F23" i="12"/>
  <c r="K22" i="12"/>
  <c r="F22" i="12"/>
  <c r="K21" i="12"/>
  <c r="F21" i="12"/>
  <c r="K20" i="12"/>
  <c r="F20" i="12"/>
  <c r="K19" i="12"/>
  <c r="F19" i="12"/>
  <c r="K18" i="12"/>
  <c r="F18" i="12"/>
  <c r="K17" i="12"/>
  <c r="F17" i="12"/>
  <c r="K16" i="12"/>
  <c r="F16" i="12"/>
  <c r="K15" i="12"/>
  <c r="F15" i="12"/>
  <c r="K14" i="12"/>
  <c r="F14" i="12"/>
  <c r="K13" i="12"/>
  <c r="F13" i="12"/>
  <c r="K12" i="12"/>
  <c r="F12" i="12"/>
  <c r="K11" i="12"/>
  <c r="F11" i="12"/>
  <c r="K10" i="12"/>
  <c r="F10" i="12"/>
  <c r="K9" i="12"/>
  <c r="F9" i="12"/>
  <c r="K8" i="12"/>
  <c r="F8" i="12"/>
  <c r="K7" i="12"/>
  <c r="F7" i="12"/>
  <c r="K6" i="12"/>
  <c r="F6" i="12"/>
  <c r="K5" i="12"/>
  <c r="F5" i="12"/>
  <c r="K4" i="12"/>
  <c r="F4" i="12"/>
  <c r="K3" i="12"/>
  <c r="F3" i="12"/>
  <c r="K2" i="12"/>
  <c r="F2" i="12"/>
  <c r="K91" i="4"/>
  <c r="H117" i="4"/>
  <c r="H110" i="4"/>
  <c r="H99" i="4"/>
  <c r="K128" i="4"/>
  <c r="K127" i="4"/>
  <c r="K126" i="4"/>
  <c r="K124" i="4"/>
  <c r="K123" i="4"/>
  <c r="K121" i="4"/>
  <c r="K119" i="4"/>
  <c r="K118" i="4"/>
  <c r="K116" i="4"/>
  <c r="K115" i="4"/>
  <c r="K109" i="4"/>
  <c r="K108" i="4"/>
  <c r="K107" i="4"/>
  <c r="K106" i="4"/>
  <c r="K105" i="4"/>
  <c r="K100" i="4"/>
  <c r="K98" i="4"/>
  <c r="K97" i="4"/>
  <c r="K95" i="4"/>
  <c r="K90" i="4"/>
  <c r="K78" i="4"/>
  <c r="K77" i="4"/>
  <c r="K76" i="4"/>
  <c r="K74" i="4"/>
  <c r="K73" i="4"/>
  <c r="K69" i="4"/>
  <c r="K68" i="4"/>
  <c r="K67" i="4"/>
  <c r="K66" i="4"/>
  <c r="K61" i="4"/>
  <c r="K60" i="4"/>
  <c r="K59" i="4"/>
  <c r="K52" i="4"/>
  <c r="K51" i="4"/>
  <c r="K50" i="4"/>
  <c r="K49" i="4"/>
  <c r="K48" i="4"/>
  <c r="H53" i="4"/>
  <c r="C33" i="4"/>
  <c r="C35" i="4" s="1"/>
  <c r="C22" i="4"/>
  <c r="D17" i="4"/>
  <c r="E17" i="4"/>
  <c r="F17" i="4" s="1"/>
  <c r="C17" i="4"/>
  <c r="C13" i="4"/>
  <c r="K29" i="4"/>
  <c r="K27" i="4"/>
  <c r="K26" i="4"/>
  <c r="K24" i="4"/>
  <c r="K21" i="4"/>
  <c r="K22" i="4" s="1"/>
  <c r="K16" i="4"/>
  <c r="K15" i="4"/>
  <c r="K14" i="4"/>
  <c r="K17" i="4" s="1"/>
  <c r="K11" i="4"/>
  <c r="K13" i="4" s="1"/>
  <c r="J13" i="4"/>
  <c r="H248" i="4"/>
  <c r="H202" i="4"/>
  <c r="I197" i="4"/>
  <c r="H197" i="4"/>
  <c r="J172" i="4"/>
  <c r="I172" i="4"/>
  <c r="H172" i="4"/>
  <c r="K140" i="4"/>
  <c r="H130" i="4"/>
  <c r="J151" i="4"/>
  <c r="J147" i="4"/>
  <c r="H156" i="4"/>
  <c r="D156" i="4"/>
  <c r="E156" i="4"/>
  <c r="I156" i="4"/>
  <c r="M156" i="4" s="1"/>
  <c r="I151" i="4"/>
  <c r="H151" i="4"/>
  <c r="E151" i="4"/>
  <c r="D151" i="4"/>
  <c r="D147" i="4"/>
  <c r="E147" i="4"/>
  <c r="F147" i="4" s="1"/>
  <c r="H147" i="4"/>
  <c r="I147" i="4"/>
  <c r="M147" i="4" s="1"/>
  <c r="C117" i="4"/>
  <c r="I130" i="4"/>
  <c r="G83" i="4"/>
  <c r="J79" i="4"/>
  <c r="I79" i="4"/>
  <c r="H79" i="4"/>
  <c r="E79" i="4"/>
  <c r="D79" i="4"/>
  <c r="D81" i="4" s="1"/>
  <c r="C79" i="4"/>
  <c r="C81" i="4" s="1"/>
  <c r="J70" i="4"/>
  <c r="I70" i="4"/>
  <c r="H70" i="4"/>
  <c r="E70" i="4"/>
  <c r="D70" i="4"/>
  <c r="C70" i="4"/>
  <c r="J62" i="4"/>
  <c r="I62" i="4"/>
  <c r="H62" i="4"/>
  <c r="E62" i="4"/>
  <c r="D62" i="4"/>
  <c r="C62" i="4"/>
  <c r="J53" i="4"/>
  <c r="J82" i="4" s="1"/>
  <c r="I53" i="4"/>
  <c r="E53" i="4"/>
  <c r="D53" i="4"/>
  <c r="C53" i="4"/>
  <c r="J130" i="4"/>
  <c r="E130" i="4"/>
  <c r="D130" i="4"/>
  <c r="D132" i="4" s="1"/>
  <c r="C130" i="4"/>
  <c r="C132" i="4" s="1"/>
  <c r="J117" i="4"/>
  <c r="I117" i="4"/>
  <c r="E117" i="4"/>
  <c r="D117" i="4"/>
  <c r="J110" i="4"/>
  <c r="I110" i="4"/>
  <c r="E110" i="4"/>
  <c r="D110" i="4"/>
  <c r="C110" i="4"/>
  <c r="J99" i="4"/>
  <c r="I99" i="4"/>
  <c r="E99" i="4"/>
  <c r="D99" i="4"/>
  <c r="C99" i="4"/>
  <c r="G491" i="4"/>
  <c r="G377" i="4"/>
  <c r="G217" i="4"/>
  <c r="G176" i="4"/>
  <c r="E172" i="4"/>
  <c r="D172" i="4"/>
  <c r="D174" i="4" s="1"/>
  <c r="J33" i="4"/>
  <c r="I33" i="4"/>
  <c r="G33" i="4"/>
  <c r="E33" i="4"/>
  <c r="D33" i="4"/>
  <c r="D35" i="4" s="1"/>
  <c r="J22" i="4"/>
  <c r="I22" i="4"/>
  <c r="G22" i="4"/>
  <c r="E22" i="4"/>
  <c r="D22" i="4"/>
  <c r="J17" i="4"/>
  <c r="I17" i="4"/>
  <c r="G17" i="4"/>
  <c r="I13" i="4"/>
  <c r="G13" i="4"/>
  <c r="E13" i="4"/>
  <c r="D13" i="4"/>
  <c r="N401" i="4" l="1"/>
  <c r="M401" i="4"/>
  <c r="N398" i="4"/>
  <c r="M398" i="4"/>
  <c r="L398" i="4"/>
  <c r="N391" i="4"/>
  <c r="M391" i="4"/>
  <c r="L391" i="4"/>
  <c r="N487" i="4"/>
  <c r="J489" i="4"/>
  <c r="M487" i="4"/>
  <c r="I489" i="4"/>
  <c r="M489" i="4" s="1"/>
  <c r="L487" i="4"/>
  <c r="H489" i="4"/>
  <c r="L489" i="4" s="1"/>
  <c r="E491" i="4"/>
  <c r="F489" i="4"/>
  <c r="N478" i="4"/>
  <c r="J490" i="4"/>
  <c r="M478" i="4"/>
  <c r="I490" i="4"/>
  <c r="L478" i="4"/>
  <c r="H490" i="4"/>
  <c r="K474" i="4"/>
  <c r="M474" i="4"/>
  <c r="F490" i="4"/>
  <c r="D491" i="4"/>
  <c r="C491" i="4"/>
  <c r="K451" i="4"/>
  <c r="N451" i="4"/>
  <c r="K450" i="4"/>
  <c r="N450" i="4"/>
  <c r="E452" i="4"/>
  <c r="F450" i="4"/>
  <c r="L448" i="4"/>
  <c r="C450" i="4"/>
  <c r="C494" i="4" s="1"/>
  <c r="L441" i="4"/>
  <c r="C451" i="4"/>
  <c r="J413" i="4"/>
  <c r="K411" i="4"/>
  <c r="N411" i="4"/>
  <c r="I413" i="4"/>
  <c r="M411" i="4"/>
  <c r="H413" i="4"/>
  <c r="L411" i="4"/>
  <c r="L401" i="4"/>
  <c r="H414" i="4"/>
  <c r="F451" i="4"/>
  <c r="M450" i="4"/>
  <c r="M451" i="4"/>
  <c r="N452" i="4"/>
  <c r="F452" i="4"/>
  <c r="J414" i="4"/>
  <c r="I414" i="4"/>
  <c r="D414" i="4"/>
  <c r="C414" i="4"/>
  <c r="C415" i="4" s="1"/>
  <c r="K398" i="4"/>
  <c r="K391" i="4"/>
  <c r="F391" i="4"/>
  <c r="D376" i="4"/>
  <c r="D377" i="4" s="1"/>
  <c r="E376" i="4"/>
  <c r="H376" i="4"/>
  <c r="I376" i="4"/>
  <c r="M376" i="4" s="1"/>
  <c r="C376" i="4"/>
  <c r="F362" i="4"/>
  <c r="F365" i="4"/>
  <c r="D339" i="4"/>
  <c r="D341" i="4" s="1"/>
  <c r="E339" i="4"/>
  <c r="C339" i="4"/>
  <c r="C341" i="4" s="1"/>
  <c r="F323" i="4"/>
  <c r="F301" i="4"/>
  <c r="E82" i="4"/>
  <c r="N82" i="4" s="1"/>
  <c r="M316" i="4"/>
  <c r="L316" i="4"/>
  <c r="M340" i="4"/>
  <c r="N340" i="4"/>
  <c r="L340" i="4"/>
  <c r="M327" i="4"/>
  <c r="D302" i="4"/>
  <c r="D303" i="4" s="1"/>
  <c r="N276" i="4"/>
  <c r="D175" i="4"/>
  <c r="D176" i="4" s="1"/>
  <c r="D82" i="4"/>
  <c r="D83" i="4" s="1"/>
  <c r="K299" i="4"/>
  <c r="F110" i="4"/>
  <c r="N17" i="4"/>
  <c r="M17" i="4"/>
  <c r="M288" i="4"/>
  <c r="F411" i="4"/>
  <c r="E413" i="4"/>
  <c r="F413" i="4" s="1"/>
  <c r="E414" i="4"/>
  <c r="F414" i="4" s="1"/>
  <c r="F401" i="4"/>
  <c r="K362" i="4"/>
  <c r="N362" i="4"/>
  <c r="J376" i="4"/>
  <c r="J377" i="4" s="1"/>
  <c r="E375" i="4"/>
  <c r="F373" i="4"/>
  <c r="L375" i="4"/>
  <c r="H377" i="4"/>
  <c r="I377" i="4"/>
  <c r="M377" i="4" s="1"/>
  <c r="M375" i="4"/>
  <c r="K375" i="4"/>
  <c r="N375" i="4"/>
  <c r="F339" i="4"/>
  <c r="E341" i="4"/>
  <c r="L327" i="4"/>
  <c r="H339" i="4"/>
  <c r="K323" i="4"/>
  <c r="N323" i="4"/>
  <c r="N316" i="4"/>
  <c r="K316" i="4"/>
  <c r="N327" i="4"/>
  <c r="K327" i="4"/>
  <c r="F156" i="4"/>
  <c r="E175" i="4"/>
  <c r="F175" i="4" s="1"/>
  <c r="D415" i="4"/>
  <c r="F82" i="4"/>
  <c r="C377" i="4"/>
  <c r="L377" i="4" s="1"/>
  <c r="L376" i="4"/>
  <c r="F341" i="4"/>
  <c r="K240" i="4"/>
  <c r="K248" i="4"/>
  <c r="C302" i="4"/>
  <c r="N288" i="4"/>
  <c r="M276" i="4"/>
  <c r="L276" i="4"/>
  <c r="M261" i="4"/>
  <c r="F99" i="4"/>
  <c r="F62" i="4"/>
  <c r="H302" i="4"/>
  <c r="L288" i="4"/>
  <c r="J301" i="4"/>
  <c r="N299" i="4"/>
  <c r="I301" i="4"/>
  <c r="M301" i="4" s="1"/>
  <c r="M299" i="4"/>
  <c r="H301" i="4"/>
  <c r="L301" i="4" s="1"/>
  <c r="L299" i="4"/>
  <c r="F288" i="4"/>
  <c r="E302" i="4"/>
  <c r="C303" i="4"/>
  <c r="L259" i="4"/>
  <c r="F22" i="4"/>
  <c r="L233" i="4"/>
  <c r="K259" i="4"/>
  <c r="F117" i="4"/>
  <c r="F53" i="4"/>
  <c r="F13" i="4"/>
  <c r="L240" i="4"/>
  <c r="M240" i="4"/>
  <c r="F240" i="4"/>
  <c r="F70" i="4"/>
  <c r="E261" i="4"/>
  <c r="F259" i="4"/>
  <c r="E215" i="4"/>
  <c r="F215" i="4" s="1"/>
  <c r="F213" i="4"/>
  <c r="E81" i="4"/>
  <c r="F79" i="4"/>
  <c r="E132" i="4"/>
  <c r="F132" i="4" s="1"/>
  <c r="F130" i="4"/>
  <c r="E174" i="4"/>
  <c r="F172" i="4"/>
  <c r="E35" i="4"/>
  <c r="F35" i="4" s="1"/>
  <c r="F33" i="4"/>
  <c r="K213" i="4"/>
  <c r="L202" i="4"/>
  <c r="M197" i="4"/>
  <c r="L197" i="4"/>
  <c r="K172" i="4"/>
  <c r="K151" i="4"/>
  <c r="K147" i="4"/>
  <c r="N53" i="4"/>
  <c r="M110" i="4"/>
  <c r="N99" i="4"/>
  <c r="M99" i="4"/>
  <c r="M22" i="4"/>
  <c r="C262" i="4"/>
  <c r="C263" i="4" s="1"/>
  <c r="M259" i="4"/>
  <c r="M233" i="4"/>
  <c r="N233" i="4"/>
  <c r="M248" i="4"/>
  <c r="N248" i="4"/>
  <c r="D262" i="4"/>
  <c r="D263" i="4" s="1"/>
  <c r="E262" i="4"/>
  <c r="N240" i="4"/>
  <c r="K192" i="4"/>
  <c r="L22" i="4"/>
  <c r="L13" i="4"/>
  <c r="N202" i="4"/>
  <c r="N192" i="4"/>
  <c r="M172" i="4"/>
  <c r="N147" i="4"/>
  <c r="C133" i="4"/>
  <c r="C134" i="4" s="1"/>
  <c r="L70" i="4"/>
  <c r="M62" i="4"/>
  <c r="D133" i="4"/>
  <c r="D134" i="4" s="1"/>
  <c r="N22" i="4"/>
  <c r="L192" i="4"/>
  <c r="L17" i="4"/>
  <c r="M202" i="4"/>
  <c r="M192" i="4"/>
  <c r="N70" i="4"/>
  <c r="N62" i="4"/>
  <c r="N110" i="4"/>
  <c r="M13" i="4"/>
  <c r="L110" i="4"/>
  <c r="L99" i="4"/>
  <c r="L53" i="4"/>
  <c r="N13" i="4"/>
  <c r="N151" i="4"/>
  <c r="M151" i="4"/>
  <c r="M70" i="4"/>
  <c r="L62" i="4"/>
  <c r="E133" i="4"/>
  <c r="J261" i="4"/>
  <c r="N259" i="4"/>
  <c r="L248" i="4"/>
  <c r="H262" i="4"/>
  <c r="H261" i="4"/>
  <c r="C216" i="4"/>
  <c r="H215" i="4"/>
  <c r="L215" i="4" s="1"/>
  <c r="L213" i="4"/>
  <c r="I215" i="4"/>
  <c r="M215" i="4" s="1"/>
  <c r="M213" i="4"/>
  <c r="J215" i="4"/>
  <c r="N213" i="4"/>
  <c r="L156" i="4"/>
  <c r="L151" i="4"/>
  <c r="C82" i="4"/>
  <c r="C83" i="4" s="1"/>
  <c r="C36" i="4"/>
  <c r="C37" i="4" s="1"/>
  <c r="N172" i="4"/>
  <c r="H35" i="4"/>
  <c r="L35" i="4" s="1"/>
  <c r="L33" i="4"/>
  <c r="H133" i="4"/>
  <c r="L117" i="4"/>
  <c r="L130" i="4"/>
  <c r="H132" i="4"/>
  <c r="I132" i="4"/>
  <c r="M130" i="4"/>
  <c r="J81" i="4"/>
  <c r="N79" i="4"/>
  <c r="I81" i="4"/>
  <c r="M79" i="4"/>
  <c r="H81" i="4"/>
  <c r="L81" i="4" s="1"/>
  <c r="L79" i="4"/>
  <c r="I82" i="4"/>
  <c r="M53" i="4"/>
  <c r="N130" i="4"/>
  <c r="J132" i="4"/>
  <c r="K132" i="4" s="1"/>
  <c r="J133" i="4"/>
  <c r="N117" i="4"/>
  <c r="I133" i="4"/>
  <c r="M117" i="4"/>
  <c r="J35" i="4"/>
  <c r="N33" i="4"/>
  <c r="I35" i="4"/>
  <c r="M33" i="4"/>
  <c r="L172" i="4"/>
  <c r="L147" i="4"/>
  <c r="C175" i="4"/>
  <c r="H36" i="4"/>
  <c r="E36" i="4"/>
  <c r="D36" i="4"/>
  <c r="D37" i="4" s="1"/>
  <c r="I36" i="4"/>
  <c r="M36" i="4" s="1"/>
  <c r="J36" i="4"/>
  <c r="G34" i="4"/>
  <c r="G35" i="4" s="1"/>
  <c r="G36" i="4" s="1"/>
  <c r="G37" i="4" s="1"/>
  <c r="I262" i="4"/>
  <c r="J262" i="4"/>
  <c r="K262" i="4" s="1"/>
  <c r="D494" i="4"/>
  <c r="J339" i="4"/>
  <c r="I302" i="4"/>
  <c r="I339" i="4"/>
  <c r="H216" i="4"/>
  <c r="E216" i="4"/>
  <c r="D216" i="4"/>
  <c r="I216" i="4"/>
  <c r="M216" i="4" s="1"/>
  <c r="K276" i="4"/>
  <c r="K233" i="4"/>
  <c r="K99" i="4"/>
  <c r="K53" i="4"/>
  <c r="K62" i="4"/>
  <c r="K70" i="4"/>
  <c r="K79" i="4"/>
  <c r="K130" i="4"/>
  <c r="K110" i="4"/>
  <c r="K117" i="4"/>
  <c r="H82" i="4"/>
  <c r="K33" i="4"/>
  <c r="K35" i="4" s="1"/>
  <c r="J302" i="4"/>
  <c r="K302" i="4" s="1"/>
  <c r="J197" i="4"/>
  <c r="K197" i="4" s="1"/>
  <c r="J156" i="4"/>
  <c r="I175" i="4"/>
  <c r="H175" i="4"/>
  <c r="N489" i="4" l="1"/>
  <c r="K489" i="4"/>
  <c r="N490" i="4"/>
  <c r="K490" i="4"/>
  <c r="J491" i="4"/>
  <c r="M490" i="4"/>
  <c r="I491" i="4"/>
  <c r="M491" i="4" s="1"/>
  <c r="L490" i="4"/>
  <c r="H491" i="4"/>
  <c r="L491" i="4" s="1"/>
  <c r="F491" i="4"/>
  <c r="M414" i="4"/>
  <c r="L450" i="4"/>
  <c r="C452" i="4"/>
  <c r="L451" i="4"/>
  <c r="L452" i="4"/>
  <c r="K413" i="4"/>
  <c r="J415" i="4"/>
  <c r="N413" i="4"/>
  <c r="I415" i="4"/>
  <c r="M415" i="4" s="1"/>
  <c r="M413" i="4"/>
  <c r="H415" i="4"/>
  <c r="L415" i="4" s="1"/>
  <c r="L413" i="4"/>
  <c r="L414" i="4"/>
  <c r="N414" i="4"/>
  <c r="K414" i="4"/>
  <c r="M175" i="4"/>
  <c r="F376" i="4"/>
  <c r="N376" i="4"/>
  <c r="K376" i="4"/>
  <c r="F375" i="4"/>
  <c r="E377" i="4"/>
  <c r="F377" i="4" s="1"/>
  <c r="L339" i="4"/>
  <c r="H341" i="4"/>
  <c r="L341" i="4" s="1"/>
  <c r="E415" i="4"/>
  <c r="F415" i="4" s="1"/>
  <c r="K377" i="4"/>
  <c r="N377" i="4"/>
  <c r="L261" i="4"/>
  <c r="H263" i="4"/>
  <c r="N339" i="4"/>
  <c r="J341" i="4"/>
  <c r="K339" i="4"/>
  <c r="M339" i="4"/>
  <c r="I341" i="4"/>
  <c r="M341" i="4" s="1"/>
  <c r="N301" i="4"/>
  <c r="K301" i="4"/>
  <c r="E303" i="4"/>
  <c r="F303" i="4" s="1"/>
  <c r="F302" i="4"/>
  <c r="L302" i="4"/>
  <c r="H303" i="4"/>
  <c r="L303" i="4" s="1"/>
  <c r="I303" i="4"/>
  <c r="M302" i="4"/>
  <c r="J303" i="4"/>
  <c r="N303" i="4" s="1"/>
  <c r="N302" i="4"/>
  <c r="L36" i="4"/>
  <c r="F216" i="4"/>
  <c r="M82" i="4"/>
  <c r="K82" i="4"/>
  <c r="F36" i="4"/>
  <c r="F261" i="4"/>
  <c r="E494" i="4"/>
  <c r="F494" i="4" s="1"/>
  <c r="F81" i="4"/>
  <c r="E83" i="4"/>
  <c r="F83" i="4" s="1"/>
  <c r="F174" i="4"/>
  <c r="E176" i="4"/>
  <c r="F176" i="4" s="1"/>
  <c r="K81" i="4"/>
  <c r="E263" i="4"/>
  <c r="F263" i="4" s="1"/>
  <c r="F262" i="4"/>
  <c r="E134" i="4"/>
  <c r="F134" i="4" s="1"/>
  <c r="F133" i="4"/>
  <c r="N261" i="4"/>
  <c r="K261" i="4"/>
  <c r="L262" i="4"/>
  <c r="N133" i="4"/>
  <c r="L133" i="4"/>
  <c r="M133" i="4"/>
  <c r="N215" i="4"/>
  <c r="K215" i="4"/>
  <c r="N81" i="4"/>
  <c r="J83" i="4"/>
  <c r="M81" i="4"/>
  <c r="I83" i="4"/>
  <c r="M83" i="4" s="1"/>
  <c r="N35" i="4"/>
  <c r="J37" i="4"/>
  <c r="M35" i="4"/>
  <c r="I37" i="4"/>
  <c r="M37" i="4" s="1"/>
  <c r="I263" i="4"/>
  <c r="M263" i="4" s="1"/>
  <c r="M262" i="4"/>
  <c r="J263" i="4"/>
  <c r="N262" i="4"/>
  <c r="N156" i="4"/>
  <c r="K156" i="4"/>
  <c r="L263" i="4"/>
  <c r="L216" i="4"/>
  <c r="J216" i="4"/>
  <c r="K216" i="4" s="1"/>
  <c r="N197" i="4"/>
  <c r="H134" i="4"/>
  <c r="L134" i="4" s="1"/>
  <c r="L132" i="4"/>
  <c r="M132" i="4"/>
  <c r="I134" i="4"/>
  <c r="M134" i="4" s="1"/>
  <c r="N132" i="4"/>
  <c r="J134" i="4"/>
  <c r="K36" i="4"/>
  <c r="N36" i="4"/>
  <c r="H83" i="4"/>
  <c r="L83" i="4" s="1"/>
  <c r="L82" i="4"/>
  <c r="L175" i="4"/>
  <c r="C176" i="4"/>
  <c r="H37" i="4"/>
  <c r="L37" i="4" s="1"/>
  <c r="E37" i="4"/>
  <c r="F37" i="4" s="1"/>
  <c r="D217" i="4"/>
  <c r="D495" i="4"/>
  <c r="D496" i="4" s="1"/>
  <c r="E217" i="4"/>
  <c r="F217" i="4" s="1"/>
  <c r="E495" i="4"/>
  <c r="F495" i="4" s="1"/>
  <c r="C217" i="4"/>
  <c r="C495" i="4"/>
  <c r="C496" i="4" s="1"/>
  <c r="K133" i="4"/>
  <c r="J175" i="4"/>
  <c r="H495" i="4"/>
  <c r="L495" i="4" s="1"/>
  <c r="I495" i="4"/>
  <c r="M495" i="4" s="1"/>
  <c r="H174" i="4"/>
  <c r="L174" i="4" s="1"/>
  <c r="I174" i="4"/>
  <c r="J174" i="4"/>
  <c r="H217" i="4"/>
  <c r="I217" i="4"/>
  <c r="M217" i="4" s="1"/>
  <c r="I494" i="4"/>
  <c r="M494" i="4" s="1"/>
  <c r="J494" i="4"/>
  <c r="K491" i="4" l="1"/>
  <c r="N491" i="4"/>
  <c r="N494" i="4"/>
  <c r="K494" i="4"/>
  <c r="K415" i="4"/>
  <c r="N415" i="4"/>
  <c r="K341" i="4"/>
  <c r="N341" i="4"/>
  <c r="K263" i="4"/>
  <c r="M303" i="4"/>
  <c r="K303" i="4"/>
  <c r="K37" i="4"/>
  <c r="N134" i="4"/>
  <c r="E496" i="4"/>
  <c r="F496" i="4" s="1"/>
  <c r="N37" i="4"/>
  <c r="K83" i="4"/>
  <c r="N83" i="4"/>
  <c r="N263" i="4"/>
  <c r="L217" i="4"/>
  <c r="N175" i="4"/>
  <c r="K175" i="4"/>
  <c r="N174" i="4"/>
  <c r="K174" i="4"/>
  <c r="I496" i="4"/>
  <c r="M496" i="4" s="1"/>
  <c r="N216" i="4"/>
  <c r="J495" i="4"/>
  <c r="J217" i="4"/>
  <c r="I176" i="4"/>
  <c r="M176" i="4" s="1"/>
  <c r="M174" i="4"/>
  <c r="H176" i="4"/>
  <c r="L176" i="4" s="1"/>
  <c r="H494" i="4"/>
  <c r="J176" i="4"/>
  <c r="K134" i="4"/>
  <c r="J496" i="4" l="1"/>
  <c r="N495" i="4"/>
  <c r="K495" i="4"/>
  <c r="H496" i="4"/>
  <c r="L496" i="4" s="1"/>
  <c r="L494" i="4"/>
  <c r="N217" i="4"/>
  <c r="K217" i="4"/>
  <c r="N176" i="4"/>
  <c r="K176" i="4"/>
  <c r="K496" i="4" l="1"/>
  <c r="N496" i="4"/>
</calcChain>
</file>

<file path=xl/sharedStrings.xml><?xml version="1.0" encoding="utf-8"?>
<sst xmlns="http://schemas.openxmlformats.org/spreadsheetml/2006/main" count="1442" uniqueCount="426">
  <si>
    <t>Country</t>
  </si>
  <si>
    <t>Armania/denmark</t>
  </si>
  <si>
    <t>Australia</t>
  </si>
  <si>
    <t>Brunnings</t>
  </si>
  <si>
    <t>called and got purchasing direct email and sent email to steve and eliska. Steve replied, need to follwup, prices offered with our product list</t>
  </si>
  <si>
    <t>spoke and got john's email whom is NZ soucing DIRECTOR, sent linedin too, spoke to Scott who is from Joans team who is looking at Purchasing side. initially wanted our Coco peat prices and SL prices were out then offered indian prices but unfortunately that was also out, we wanted to inquire Toyo products but at the moment they are not interested to shift buyers for Toyo products, continously follwing up.</t>
  </si>
  <si>
    <t>India</t>
  </si>
  <si>
    <t xml:space="preserve">Spoke to Callum who is starategic manager,  also sent emails to callums team mates , he said they do not have a requirment at the moment </t>
  </si>
  <si>
    <t>emails sent , tiran is a sri lankan, connected to another sri lankan, thanuja and connected via whatzapp, said they are ok with current suppliers. Menatime shared our calalogue and Thanuja said they will come back when there is a requirement.</t>
  </si>
  <si>
    <t>Singapore</t>
  </si>
  <si>
    <t>Heveya</t>
  </si>
  <si>
    <t>wrote, brett connected, they have supplier for these but they are happy to explore our products. send offers on 22nd may</t>
  </si>
  <si>
    <t>Austria</t>
  </si>
  <si>
    <t>PRICES OFFERED SAMPLES  sent, customer is not ready to start trial at the moment since their initial idea was copied by someone in their country.</t>
  </si>
  <si>
    <t>Belgium</t>
  </si>
  <si>
    <t>Bulgaria</t>
  </si>
  <si>
    <t>Canada</t>
  </si>
  <si>
    <t xml:space="preserve">Harster </t>
  </si>
  <si>
    <t xml:space="preserve">Prices offered samples sent. happy with sampels and prices , customer is not ready to place order soon due to current situation in the market </t>
  </si>
  <si>
    <t>Denmark</t>
  </si>
  <si>
    <t>Dubai</t>
  </si>
  <si>
    <t>Germany</t>
  </si>
  <si>
    <t xml:space="preserve">LUCKY REPTILE GETRAUD </t>
  </si>
  <si>
    <t>I have called this customer. They but 1 container / year a combined container of pots and growing media items. We requested but never got GM prices from the team unfortunately. So, we lost this opportunity.</t>
  </si>
  <si>
    <t>Italy</t>
  </si>
  <si>
    <t>called and initially asked 5kg blovck prices  ,yet to recoved prices from Khashunika</t>
  </si>
  <si>
    <t>Baldiflex</t>
  </si>
  <si>
    <t>wrote, got response and siad they will get back after reviewing</t>
  </si>
  <si>
    <t>Japan</t>
  </si>
  <si>
    <t>Latvia</t>
  </si>
  <si>
    <t>Malaysia</t>
  </si>
  <si>
    <t>Netherlands</t>
  </si>
  <si>
    <t>called and connected with sourcing manager zimon, asked about EUDR report and sent , no reply after that , continuousely follwing up</t>
  </si>
  <si>
    <t>Norway</t>
  </si>
  <si>
    <t>Poland</t>
  </si>
  <si>
    <t xml:space="preserve">emails sent to joanna,2/5/2026 ( he repied and said he will forward to purchasing, contacted again but no reply, continoosely following up with him to get the direct purchase number </t>
  </si>
  <si>
    <t>Portugal</t>
  </si>
  <si>
    <t>Ageon</t>
  </si>
  <si>
    <t>sent emails , added mauro , wanted coco peat prices first, but our price was out, said they will get back when ther is inquiry for toyo items.</t>
  </si>
  <si>
    <t>Spain</t>
  </si>
  <si>
    <t>JARDIN Y NATURA, OUTDOOR &amp; GARDEN</t>
  </si>
  <si>
    <t>Switzerland</t>
  </si>
  <si>
    <t>Turkey</t>
  </si>
  <si>
    <t>UAE</t>
  </si>
  <si>
    <t xml:space="preserve">emails sent  no linkedin, whatzxaap called connected , wanrted coco peat prices initially but our price was out. They said they will get back when there is request for Toyo products </t>
  </si>
  <si>
    <t>Dripdepot</t>
  </si>
  <si>
    <t xml:space="preserve">forwarded to productement team, wating for the update, need to follwup up next week </t>
  </si>
  <si>
    <t xml:space="preserve">B &amp; G DECOR LLC </t>
  </si>
  <si>
    <t xml:space="preserve">emails sent  no linkedin, EMAIL BOUCE NO CONTACT, offered via woodloge -Rob </t>
  </si>
  <si>
    <t>Walmart Inc.</t>
  </si>
  <si>
    <t>Brandon</t>
  </si>
  <si>
    <t>Pettigardens</t>
  </si>
  <si>
    <t>connected via linkedin sent catalogue , need to work on prices-will send improved prices from finance.</t>
  </si>
  <si>
    <t xml:space="preserve">contacted sl person ad got an email of hassan purchasing manager and sent email </t>
  </si>
  <si>
    <t xml:space="preserve">Nestkin </t>
  </si>
  <si>
    <t>Frog environmental</t>
  </si>
  <si>
    <t>Greenroofsdirect</t>
  </si>
  <si>
    <t>Inquired aboit floating island ,RC pads, but ciustomer is also not aware about product , we sent the product information so he is yet to confirm the requirment, send few reminders, asked Malintha for update</t>
  </si>
  <si>
    <t>samples prices sent, fredrico is not responding but sent sample to office, he  will reicve by next week</t>
  </si>
  <si>
    <t xml:space="preserve">Bmpsupplies </t>
  </si>
  <si>
    <t>sent prices, followued up with Malintha if we have an positive indication, yet to get the confirmation</t>
  </si>
  <si>
    <t>Sent two offeres, only 500 pcs wirebasket LCL price pending as Procurement to share the local clerance charges, sent multiple followups, calles emails, yet to recoved.</t>
  </si>
  <si>
    <t>Montreal Greenhouse</t>
  </si>
  <si>
    <t>Beckag</t>
  </si>
  <si>
    <t xml:space="preserve">sent two followup emails after our team physical meetup, no response yet </t>
  </si>
  <si>
    <t>Czech Republic</t>
  </si>
  <si>
    <t>Geo Mat</t>
  </si>
  <si>
    <t>Meyer</t>
  </si>
  <si>
    <t>emailed and connecteed with purchase head, not they don’t have requorment</t>
  </si>
  <si>
    <t>Dollar general</t>
  </si>
  <si>
    <t>PRB</t>
  </si>
  <si>
    <t xml:space="preserve">Coir culture </t>
  </si>
  <si>
    <t>DXB BEDDING</t>
  </si>
  <si>
    <t>LIKEWISE MATTING</t>
  </si>
  <si>
    <t>IWTCARGO</t>
  </si>
  <si>
    <t>Samples sent, Feedback Pending</t>
  </si>
  <si>
    <t>BBT -Beatle</t>
  </si>
  <si>
    <t>Requested details for available spec, need to provide complete infomation</t>
  </si>
  <si>
    <t xml:space="preserve">Grower Direct </t>
  </si>
  <si>
    <t>Fjeld Hagebruk</t>
  </si>
  <si>
    <t>New inquiry reiceved for coco pots. Big company.  Forwarded to Manura to folowup, currenly customer is happy with his exsiting cuspplier but have the opportunity open, we are continiousely keeping in touch</t>
  </si>
  <si>
    <t>Shoe sole buyer , connected, currenly working on sample development for customer original sample, Need to send samples to them. samples sent on 25th july and currently follwing up with Marchell -Buyer</t>
  </si>
  <si>
    <t>MDE Machinebouw</t>
  </si>
  <si>
    <t>Spoke to customer, waiting for their size approval to proceed samples.</t>
  </si>
  <si>
    <t>Szkolka Pinaczy</t>
  </si>
  <si>
    <t>Anne Waalewijn</t>
  </si>
  <si>
    <t xml:space="preserve">Samples submitted. Awaiting feedback, customer sent refernces samle to us on 21st may, due to receve on 18th June 2026, GOT SAMPLES AND NEED TO REVIEW </t>
  </si>
  <si>
    <t>customer has responded for intial samples and working on counter samples</t>
  </si>
  <si>
    <t>Enkev</t>
  </si>
  <si>
    <t>Getha</t>
  </si>
  <si>
    <t>FR Samples sent to customer for testing  BS5882-failed, Prices not approved.  NOrmal RC Trial LCL (0.1% TEU) placed for shipment (Mid Jun 26)</t>
  </si>
  <si>
    <t>Chillthedog</t>
  </si>
  <si>
    <t>Samples and quotation submitted.  Prices not approved.</t>
  </si>
  <si>
    <t>Agro De Arend</t>
  </si>
  <si>
    <t>Iwan procircular</t>
  </si>
  <si>
    <t>initially inqured for coir disc from vgm and price is out</t>
  </si>
  <si>
    <t>Price offers done samples done customer isdoing trials</t>
  </si>
  <si>
    <t>Spring tech dubai</t>
  </si>
  <si>
    <t>Port Cities Ltd.</t>
  </si>
  <si>
    <t>Ayogi</t>
  </si>
  <si>
    <t>Tanaka</t>
  </si>
  <si>
    <t>bedding inquiry need dispath address to send samples</t>
  </si>
  <si>
    <t>#</t>
  </si>
  <si>
    <t>Marketing Person</t>
  </si>
  <si>
    <t>Company Name</t>
  </si>
  <si>
    <t>First Contact Date</t>
  </si>
  <si>
    <t>Follow up Duration</t>
  </si>
  <si>
    <t>Est. TEUs</t>
  </si>
  <si>
    <t>Est Turnover</t>
  </si>
  <si>
    <t>Conversion %</t>
  </si>
  <si>
    <t>Expected Closing Timeline</t>
  </si>
  <si>
    <t>Priority</t>
  </si>
  <si>
    <t>Price Offered</t>
  </si>
  <si>
    <t>Sample Delivered</t>
  </si>
  <si>
    <t>Status</t>
  </si>
  <si>
    <t>MM</t>
  </si>
  <si>
    <t>Gaza G</t>
  </si>
  <si>
    <t>0-6 Months</t>
  </si>
  <si>
    <t>Customer did trials for coco trays &amp; said at the moment they are not looking to convert from the plastic materials they use. But in future they might consider, CONTACTED AGAIN AND ASKED INFORMATION FOR CURRENT PRODUCT RANGE</t>
  </si>
  <si>
    <t>St Aubin</t>
  </si>
  <si>
    <t>Quoted competitive prices to convert the customer from competition. They have already given this years order to competition and agreed to gove us the order for next year. 2026 July prices offered currently under discussions;</t>
  </si>
  <si>
    <t xml:space="preserve">Linax </t>
  </si>
  <si>
    <t>Artigian</t>
  </si>
  <si>
    <t>connected via linkedin send calalog, asked for samples, need to arrange  said price is out , but need to work on closely</t>
  </si>
  <si>
    <t xml:space="preserve">Frog </t>
  </si>
  <si>
    <t>United Kingdom</t>
  </si>
  <si>
    <t>Gully guard, Boi pipe done, bio pipe tested and sent to customer for review, Gully guard contruction done samples sent, need to do onsite test inside water. De watering bag yet to pass trials . customer said he will place po by sep</t>
  </si>
  <si>
    <t>PD</t>
  </si>
  <si>
    <t>Mattress Prod</t>
  </si>
  <si>
    <t>Samples sent for testing MVSS 302 standard (testing by TOYO) and awaiting results. Prices to be submitted, trial order done</t>
  </si>
  <si>
    <t>DP</t>
  </si>
  <si>
    <t>Sampels sent prices sent customer doing trials and review with competitor samples . we sent all 4 quality liners for the review</t>
  </si>
  <si>
    <t>Prices offered. GOLS samples dispatched</t>
  </si>
  <si>
    <t>working on block plank development, need 600kg holding capacity with coir and sustanable contenct</t>
  </si>
  <si>
    <t>Bleee Ne</t>
  </si>
  <si>
    <t>Adj india-</t>
  </si>
  <si>
    <t>price pending and sample ready</t>
  </si>
  <si>
    <t>HR</t>
  </si>
  <si>
    <t>Samar trading planter mat-New ref exiting customer</t>
  </si>
  <si>
    <t>Samples price done customer need to do trials so keep following up</t>
  </si>
  <si>
    <t>Primehort -New ref exiting customer</t>
  </si>
  <si>
    <t>New Zealand</t>
  </si>
  <si>
    <t>Price samples sent customer ok for prie and sample is ok ,currently in talks</t>
  </si>
  <si>
    <t>Working on the samples, quotation sent inquiry from rileys</t>
  </si>
  <si>
    <t>Bellaflo</t>
  </si>
  <si>
    <t>6-12 Months</t>
  </si>
  <si>
    <t>Requested for waterproof pot and tray samples. They are currently buying from competition.</t>
  </si>
  <si>
    <t>Brunn</t>
  </si>
  <si>
    <t>Ace H</t>
  </si>
  <si>
    <t>United States</t>
  </si>
  <si>
    <t>Emailed send, first time called not successful,  second time called and asked to send vender request, need to register in the system, connected with soucing head, thomson and sent catelogue and vender regisration link Got the inquiry for Rayan for basket liners, need to work on prices , price is out with china prices, still unable to get target prices</t>
  </si>
  <si>
    <t>World Source Par</t>
  </si>
  <si>
    <t>mike marlon .mmallon@worldsourcepartners.com,+1 609-610-8680,+1 860-290-8890 ext 205,+1 856-382-0073eric (609) 257-8900 called mik 18002889627  224, sent emails and he said he will reply.they will come back to us in september , sent the inquiry for ppt of full new innovative item list</t>
  </si>
  <si>
    <t xml:space="preserve">offered price for 50x 150 cm with carton packing like last time  but now customer requested dimension and pricing  is different In that case we can offer at  $1.3 /sqm  DAP for 2 x20m  target price is 1.133 which is below the margin </t>
  </si>
  <si>
    <t>Sunrise Hardware</t>
  </si>
  <si>
    <t>Hortic</t>
  </si>
  <si>
    <t>Connected with soucing team, said that they will definetely get back once requirment arises , said prices are ok and working on with other suppliers</t>
  </si>
  <si>
    <t>Eco Sal</t>
  </si>
  <si>
    <t>Quotation submitted. Samples submtted(May 2026). Awaiting resposne. reminder emails sent</t>
  </si>
  <si>
    <t>Acqua float</t>
  </si>
  <si>
    <t>FLOATING ISLAND PRICES SUBMITTED and logs prices sent after two weeks nit no response from customer. we are putting reminders</t>
  </si>
  <si>
    <t>Whites G</t>
  </si>
  <si>
    <t>Prices offered but customer said he offered the price but no positive feedback from the end buyer</t>
  </si>
  <si>
    <t>Established contact point and they have directed to anuther buying team</t>
  </si>
  <si>
    <t>Essenz</t>
  </si>
  <si>
    <t>customer visited the factory and prices offered , currenly followingup</t>
  </si>
  <si>
    <t>Sende</t>
  </si>
  <si>
    <t>Bozam</t>
  </si>
  <si>
    <t>Placek</t>
  </si>
  <si>
    <t>emails send-Inquiy recoived  yet the vgm prices pending, asked more specifications about vgm pet bedding but customer is not responding</t>
  </si>
  <si>
    <t>Wakeun</t>
  </si>
  <si>
    <t>NEW INQUIRY SHOULD WORK COMBINED OFFER</t>
  </si>
  <si>
    <t xml:space="preserve">Kurkfabriek Van Avermaet </t>
  </si>
  <si>
    <t>&gt;12 Months</t>
  </si>
  <si>
    <t>Classic Home Garden</t>
  </si>
  <si>
    <t>Et2c</t>
  </si>
  <si>
    <t>New inquiry received from global sourcing office sent prices. Customer said that an indian supplier has given better prices and will consider us for next season.</t>
  </si>
  <si>
    <t>Home Base -Jysk</t>
  </si>
  <si>
    <t>Brit is the  Sourcing director,  responded and inquired about full mettress, shared the mattress  catalogue, customer said there is a  spcific  mattress JYSK buys and its not within Hayleys calalogue. Follwing up with Brit to develop as per their standard, need to get their spec.</t>
  </si>
  <si>
    <t>Mitre10</t>
  </si>
  <si>
    <t xml:space="preserve">Tapex Industrial </t>
  </si>
  <si>
    <t>Trioau</t>
  </si>
  <si>
    <t>Ralista</t>
  </si>
  <si>
    <t>Elmar</t>
  </si>
  <si>
    <t>Email sent-lkdin connection req rebbeca zofia product manager , returned emails, called and aksed to sent to info. Tobias is thr woner who is in  touch so said they will be back next week, also said he will connect his son due to language issue. Yet to recive a reply from him. FINALLY SAID NOT IN 2026</t>
  </si>
  <si>
    <t>Bano Lo</t>
  </si>
  <si>
    <t xml:space="preserve">spoke and sent to francesco, wanted coco peat prices initially and yet to received prices from Khashnika, NO UPDATED FROM THAT, THEY BUY FROM trump coir </t>
  </si>
  <si>
    <t>Nuova</t>
  </si>
  <si>
    <t>Europ</t>
  </si>
  <si>
    <t>4iq</t>
  </si>
  <si>
    <t>Kabloom Ltd.</t>
  </si>
  <si>
    <t>Emails sent no LinkedIn, inquired about coir disc, but customer yet to confirm the sizes, following up weekly.</t>
  </si>
  <si>
    <t>Ecoiri</t>
  </si>
  <si>
    <t xml:space="preserve">Panacea </t>
  </si>
  <si>
    <t>emails sent  no linkedin, Called and No response, Second attemt- cmnected with dyane and said they are happy with current buiyer, dyane williams , malcom , mark dennis,kate,(614) 429-6320--working  asked to call (614) 850-7000, dennis replied and said they Are happy with the current supplieer.,"malcolm.andrews@panaceaproducts.co.uk" &lt;malcolm.andrews@panaceaproducts.co.uk&gt; Md, we need to share improved prices list to impress , pending with finance. but currently buying from vietnam</t>
  </si>
  <si>
    <t>customer is ok for price, samples under the process,  sample delivery chareg is high and he is not ready tom pay so need to arrange air mail</t>
  </si>
  <si>
    <t xml:space="preserve">Connected via linked in , sent the calalogue, need to work on improved prices </t>
  </si>
  <si>
    <t>Inquiry for De watering bag and need to shsre with Richard frog</t>
  </si>
  <si>
    <t>Oneclarion</t>
  </si>
  <si>
    <t>prices offered for 800nc no latex and 300gsm rc with laminated sticker, need to send samples, pending and followup with factory. customer asked to wait for sampe</t>
  </si>
  <si>
    <t xml:space="preserve">Full Service </t>
  </si>
  <si>
    <t xml:space="preserve">Hanes Companies </t>
  </si>
  <si>
    <t>Allinon Trade</t>
  </si>
  <si>
    <t>sent offers but again utilization issue, we only can load 18000 with compressed loading for 20mft, indian supplyer can load 37500 pcs, asked to send GSM , sent prices for weed mats again and need to follup</t>
  </si>
  <si>
    <t>Need to send supplier onboarding doc</t>
  </si>
  <si>
    <t xml:space="preserve">Price offers send and re engineered for customer sample, awating for the response </t>
  </si>
  <si>
    <t>Prices offered for pots and issued with mold development cost. need to folloup</t>
  </si>
  <si>
    <t>supplier registration done, prices offerd for VGM products , in discssions since 2025</t>
  </si>
  <si>
    <t>Leading UK floor covering business. Few issues are with Rileys as they are having some exclusive agreements with Mr. Mendis for UK Market for ROD Mats. Prices offered for rileys PVC range as initial inquiry recived for Mats</t>
  </si>
  <si>
    <t>Profile products</t>
  </si>
  <si>
    <t>emails sent, recived inquiry for coir 5kg blocks but vgm offers not attractive and they lost interest</t>
  </si>
  <si>
    <t>emails sent , linked in conneced wth pedro, pedro shared purchases "cmarquez@jardinynatura.com"</t>
  </si>
  <si>
    <t>All stake su</t>
  </si>
  <si>
    <t>emails sent, recived inquiry poles and seems like prices are out but continoiusely following up</t>
  </si>
  <si>
    <t>Naturo swi</t>
  </si>
  <si>
    <t>Inquiry received for board sample, visited factory</t>
  </si>
  <si>
    <t>Mr Fother</t>
  </si>
  <si>
    <t>currently working on the sample</t>
  </si>
  <si>
    <t>customer said he will get back during next year</t>
  </si>
  <si>
    <t>Working on the samples, quotation sent inquiry from bonterra</t>
  </si>
  <si>
    <t>Par gl</t>
  </si>
  <si>
    <t>Inquiry from bonterra ROOT MAT, PRICES OFFERED</t>
  </si>
  <si>
    <t>Backfibre</t>
  </si>
  <si>
    <t>Local</t>
  </si>
  <si>
    <t xml:space="preserve">customer is also working to get leads from their buyers </t>
  </si>
  <si>
    <t>Mattress Production</t>
  </si>
  <si>
    <t>MONTH</t>
  </si>
  <si>
    <t>APR</t>
  </si>
  <si>
    <t>Budget</t>
  </si>
  <si>
    <t>Actual</t>
  </si>
  <si>
    <t>SALES OFFICER</t>
  </si>
  <si>
    <t>BUYER</t>
  </si>
  <si>
    <t>Sum of TEU QTY</t>
  </si>
  <si>
    <t>Sum of TO-FOB</t>
  </si>
  <si>
    <t xml:space="preserve">Sum of TOTAL CONTRI </t>
  </si>
  <si>
    <t>GNZ INTERNATIONAL</t>
  </si>
  <si>
    <t>MARKTEGS AB</t>
  </si>
  <si>
    <t>PRIDE GARDEN PRODUCTS</t>
  </si>
  <si>
    <t>UBBINK GARDEN B.V</t>
  </si>
  <si>
    <t>VIDEX</t>
  </si>
  <si>
    <t>WINDHAGER HANDLESGESMAH</t>
  </si>
  <si>
    <t>DP Total</t>
  </si>
  <si>
    <t>ENGROW B. V.</t>
  </si>
  <si>
    <t>First concept</t>
  </si>
  <si>
    <t>Agraria</t>
  </si>
  <si>
    <t>HR Total</t>
  </si>
  <si>
    <t>JOHANNES LUTCH &amp; CO</t>
  </si>
  <si>
    <t>PROPTEC HORTICULTURAL PRODUCTS</t>
  </si>
  <si>
    <t>Vane velde</t>
  </si>
  <si>
    <t>MM Total</t>
  </si>
  <si>
    <t>EARTHFOAM (PVT) LTD</t>
  </si>
  <si>
    <t>GREEEN CO</t>
  </si>
  <si>
    <t>GREENLATEX</t>
  </si>
  <si>
    <t>HEINRICH RIEBEL</t>
  </si>
  <si>
    <t>MAL GERMANY</t>
  </si>
  <si>
    <t>RICHARD PEIRIS</t>
  </si>
  <si>
    <t>SHINWOO PALM CO LTD</t>
  </si>
  <si>
    <t>THE SENATOR GROUP</t>
  </si>
  <si>
    <t>YANIS FOAMS</t>
  </si>
  <si>
    <t>PD Total</t>
  </si>
  <si>
    <t>Bedding Grand Total</t>
  </si>
  <si>
    <t>Horti Grand Total</t>
  </si>
  <si>
    <t>Sub Total</t>
  </si>
  <si>
    <t>MAY</t>
  </si>
  <si>
    <t>MKB COMPANY, LLC</t>
  </si>
  <si>
    <t>NEKAB (PVT) LTD</t>
  </si>
  <si>
    <t>Ruvini Aqua Plants Lanka(Pvt)Ltd</t>
  </si>
  <si>
    <t>THILMA LANKA (PVT) LTD</t>
  </si>
  <si>
    <t>Coco industry</t>
  </si>
  <si>
    <t>First Concept INC - WEED DISCS</t>
  </si>
  <si>
    <t>Gellerts</t>
  </si>
  <si>
    <t>KAEFERLAND</t>
  </si>
  <si>
    <t>Tropicoir - GCP</t>
  </si>
  <si>
    <t>wolfsburg</t>
  </si>
  <si>
    <t>Advance landscape</t>
  </si>
  <si>
    <t>ADJ</t>
  </si>
  <si>
    <t>ETERA SEDUM LLC</t>
  </si>
  <si>
    <t>FERNLAND AGENCIES PTY LTD</t>
  </si>
  <si>
    <t>E2HS</t>
  </si>
  <si>
    <t>Pillar</t>
  </si>
  <si>
    <t>FORTEX LLC</t>
  </si>
  <si>
    <t>GETHA</t>
  </si>
  <si>
    <t>UAB "IVO" IR KO Mostiske</t>
  </si>
  <si>
    <t>EARTHFOAM</t>
  </si>
  <si>
    <t xml:space="preserve">D.R. INDUSTRIES </t>
  </si>
  <si>
    <t>LALAN ECO LATEX</t>
  </si>
  <si>
    <t>JUN</t>
  </si>
  <si>
    <t>RATNHASIRI FERNANDO &amp; COMPANY PVT LTD</t>
  </si>
  <si>
    <t>WINDHAGER HANDLESGESMAH spill</t>
  </si>
  <si>
    <t>MKB</t>
  </si>
  <si>
    <t>AGRARIA CHECCHI SILVANO SPA.</t>
  </si>
  <si>
    <t>Austram Home &amp; Garden</t>
  </si>
  <si>
    <t>FIRST CONCEPT INC - GA</t>
  </si>
  <si>
    <t>GAHH AUTOMOTIVE</t>
  </si>
  <si>
    <t>Whites Group - Jack</t>
  </si>
  <si>
    <t>TOPLINE DISTRIBUTORS (PTY)LTD</t>
  </si>
  <si>
    <t>Johannes Lucth</t>
  </si>
  <si>
    <t>Engrow</t>
  </si>
  <si>
    <t>LECO</t>
  </si>
  <si>
    <t>PEMI CORPORATION</t>
  </si>
  <si>
    <t>HPJ Gardens AB</t>
  </si>
  <si>
    <t xml:space="preserve">PILLAR PRODUCTS </t>
  </si>
  <si>
    <t>Gelrups</t>
  </si>
  <si>
    <t>Primehort</t>
  </si>
  <si>
    <t>LOFATEX</t>
  </si>
  <si>
    <t>NATURALMAT</t>
  </si>
  <si>
    <t>POLY PRODUCTS</t>
  </si>
  <si>
    <t xml:space="preserve">Katu Goods </t>
  </si>
  <si>
    <t>JUL</t>
  </si>
  <si>
    <t>KURT W. BERG &amp; CO. GMBH</t>
  </si>
  <si>
    <t>VIDEX spill</t>
  </si>
  <si>
    <t>De mel spill</t>
  </si>
  <si>
    <t>PILLAR PRODUCTS  spill</t>
  </si>
  <si>
    <t>Chimney Sheep Ltd  spill</t>
  </si>
  <si>
    <t>Newark Auto</t>
  </si>
  <si>
    <t>Tropicoir</t>
  </si>
  <si>
    <t>Engrow spill</t>
  </si>
  <si>
    <t>Gaah</t>
  </si>
  <si>
    <t>MEGRAN</t>
  </si>
  <si>
    <t>Green latex</t>
  </si>
  <si>
    <t>KATU GOODS/EARTHFOAM</t>
  </si>
  <si>
    <t>FUKAMISANGYOU CO</t>
  </si>
  <si>
    <t>D.R. INDUSTRIES</t>
  </si>
  <si>
    <t>AUG</t>
  </si>
  <si>
    <t>BIOMATRIX WATER SOLUTIONS LTD</t>
  </si>
  <si>
    <t>Create International</t>
  </si>
  <si>
    <t>HEINRICH GLAESER NACHF. GMBH</t>
  </si>
  <si>
    <t>Commercial Projar</t>
  </si>
  <si>
    <t>PROFLORA GMBH</t>
  </si>
  <si>
    <t>AUSSIE EROSION PTY LTD</t>
  </si>
  <si>
    <t>FIRST CONCEPT INC - KINSMAN</t>
  </si>
  <si>
    <t>SAMAR TRADING B.V.</t>
  </si>
  <si>
    <t>KATU GOODS</t>
  </si>
  <si>
    <t>UAB IVO</t>
  </si>
  <si>
    <t>DAMRO</t>
  </si>
  <si>
    <t>SEP</t>
  </si>
  <si>
    <t>Garden Gloss</t>
  </si>
  <si>
    <t>PRIDE GARDEN PRODUCTS spill</t>
  </si>
  <si>
    <t>PROFLORA</t>
  </si>
  <si>
    <t>COCO INDUSTRY</t>
  </si>
  <si>
    <t>Windhager</t>
  </si>
  <si>
    <t>MYC</t>
  </si>
  <si>
    <t>Agri Cheap</t>
  </si>
  <si>
    <t>WOODLODGE PRODUCTS LTD spill</t>
  </si>
  <si>
    <t>Pillar PRODUCTS /Pinnacle</t>
  </si>
  <si>
    <t>Shamkir</t>
  </si>
  <si>
    <t>Vande vel</t>
  </si>
  <si>
    <t>TOM CHAMBERS - (NEW)</t>
  </si>
  <si>
    <t>EARTHFOAM (PVT) LTD/katu</t>
  </si>
  <si>
    <t>OCT</t>
  </si>
  <si>
    <t>SPLENDOR PLANTS AB</t>
  </si>
  <si>
    <t>SAM Partners</t>
  </si>
  <si>
    <t>Squirrel US LLC</t>
  </si>
  <si>
    <t>TE FINANS APS</t>
  </si>
  <si>
    <t>Pinnacle</t>
  </si>
  <si>
    <t>Fernland</t>
  </si>
  <si>
    <t>HRASHQ GROUP LLC</t>
  </si>
  <si>
    <t>SHIGADRY EARTH CO</t>
  </si>
  <si>
    <t>NOV</t>
  </si>
  <si>
    <t>WINDHAGER</t>
  </si>
  <si>
    <t>GRIMSTAD PLANTESKOLE AS</t>
  </si>
  <si>
    <t>Zulaf</t>
  </si>
  <si>
    <t>DEC</t>
  </si>
  <si>
    <t>CEYLON AQUA PLANTS</t>
  </si>
  <si>
    <t>TOPLINE TOOLS</t>
  </si>
  <si>
    <t xml:space="preserve">Mitre 10-New </t>
  </si>
  <si>
    <t>VAN DER VELDE</t>
  </si>
  <si>
    <t>JAN</t>
  </si>
  <si>
    <t>PRIDE GARDEN PRODUCTS (Vigoro)</t>
  </si>
  <si>
    <t>RATHNASIRI FERNANDO AND COMPANY</t>
  </si>
  <si>
    <t>SPLENDOR PLANT AB</t>
  </si>
  <si>
    <t>VOPNA (PVT) ltd</t>
  </si>
  <si>
    <t>FIRST CONCEPT INC - BOSMERE</t>
  </si>
  <si>
    <t>N.G. NICCOLAI SRL</t>
  </si>
  <si>
    <t>WOODLODGE PRODUCTS LTD</t>
  </si>
  <si>
    <t>FEB</t>
  </si>
  <si>
    <t>COMERCIAL PROJAR S.A</t>
  </si>
  <si>
    <t>COMERCIAL PROJAR S.A (New)</t>
  </si>
  <si>
    <t>SALIX</t>
  </si>
  <si>
    <t>AGRARIA CHECCHI SILVANO SPA</t>
  </si>
  <si>
    <t xml:space="preserve">PRIMEHORT DISTRIBUTORS </t>
  </si>
  <si>
    <t>MAR</t>
  </si>
  <si>
    <t>AMILA Aqua Plants Lanka(Pvt)Ltd</t>
  </si>
  <si>
    <t>COCO INDUSTRY MALAYSIA</t>
  </si>
  <si>
    <t>Gardengloss</t>
  </si>
  <si>
    <t>LOCAL ONE TIME</t>
  </si>
  <si>
    <t xml:space="preserve">PRIDE GARDEN PRODUCTS-Wooden Trough </t>
  </si>
  <si>
    <t>WINDHAGER HANDLESGESMAH (New)</t>
  </si>
  <si>
    <t>ACW GROUP PTY LTD</t>
  </si>
  <si>
    <t xml:space="preserve">Elmar New - Coco Pole </t>
  </si>
  <si>
    <t>ÁGYMESTER MANUFAKTÚRA KFT.</t>
  </si>
  <si>
    <t>Annual Bedding cumalaitve</t>
  </si>
  <si>
    <t>Annual Horti cumalative</t>
  </si>
  <si>
    <t>Total</t>
  </si>
  <si>
    <t>Variance</t>
  </si>
  <si>
    <t xml:space="preserve">FIRST CONCEPT INC - KINSMAN+weed </t>
  </si>
  <si>
    <t>Margin</t>
  </si>
  <si>
    <t>TEU’s</t>
  </si>
  <si>
    <t>TO (FOB)</t>
  </si>
  <si>
    <t>Cont.</t>
  </si>
  <si>
    <t xml:space="preserve">Actual </t>
  </si>
  <si>
    <t xml:space="preserve">Factory  </t>
  </si>
  <si>
    <t>Horticulture</t>
  </si>
  <si>
    <t xml:space="preserve">Bedding </t>
  </si>
  <si>
    <t xml:space="preserve">Need month wise output PPT </t>
  </si>
  <si>
    <t>marketing officer to select month and get ppt data for performance</t>
  </si>
  <si>
    <t>Jan</t>
  </si>
  <si>
    <t>Feb</t>
  </si>
  <si>
    <t>Mar</t>
  </si>
  <si>
    <t>Apr</t>
  </si>
  <si>
    <t>May</t>
  </si>
  <si>
    <t>Jun</t>
  </si>
  <si>
    <t>Jul</t>
  </si>
  <si>
    <t>Aug</t>
  </si>
  <si>
    <t>Sep</t>
  </si>
  <si>
    <t>Oct</t>
  </si>
  <si>
    <t>Nov</t>
  </si>
  <si>
    <t>Dec</t>
  </si>
  <si>
    <t>Eg if select month- then ppt report to be generated like above for each month wise</t>
  </si>
  <si>
    <t>Initial budget details to be loaded to  excell in web app-Manager marketing to fill</t>
  </si>
  <si>
    <t>Actual  details to be loaded to  excell in web app--Manager marketing to fill</t>
  </si>
  <si>
    <t>Factory confirmed</t>
  </si>
  <si>
    <t>Auto cal(</t>
  </si>
  <si>
    <t>Example</t>
  </si>
  <si>
    <t>X</t>
  </si>
  <si>
    <t>Once actuals are filled, marketing manager to push same to factory for the confirmation, bimal from factory to have interfce actuals , Bimal can confirm by  ticking and if container volumes are reduced then put teu count, then balance to be calcualted propotionately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</si>
</sst>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_(* \(#,##0.0\);_(* &quot;-&quot;??_);_(@_)"/>
    <numFmt numFmtId="166" formatCode="#,##0.0"/>
    <numFmt numFmtId="167" formatCode="_(* #,##0.0000_);_(* \(#,##0.0000\);_(* &quot;-&quot;??_);_(@_)"/>
    <numFmt numFmtId="168" formatCode="_(* #,##0.0_);_(* \(#,##0.0\);_(* &quot;-&quot;?_);_(@_)"/>
    <numFmt numFmtId="169" formatCode="0.0"/>
  </numFmts>
  <fonts count="21"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000000"/>
      <name val="Aptos Narrow"/>
      <family val="2"/>
    </font>
    <font>
      <sz val="11"/>
      <color theme="1"/>
      <name val="Aptos Narrow"/>
      <family val="2"/>
    </font>
    <font>
      <sz val="11"/>
      <name val="Aptos Narrow"/>
      <family val="2"/>
      <scheme val="minor"/>
    </font>
    <font>
      <b/>
      <sz val="11"/>
      <name val="Aptos Narrow"/>
      <family val="2"/>
      <scheme val="minor"/>
    </font>
    <font>
      <sz val="11"/>
      <name val="Calibri"/>
      <family val="2"/>
    </font>
    <font>
      <sz val="11"/>
      <name val="Arial"/>
      <family val="1"/>
    </font>
    <font>
      <sz val="11"/>
      <color rgb="FF000000"/>
      <name val="Calibri"/>
      <family val="2"/>
    </font>
    <font>
      <sz val="10"/>
      <name val="Calibri"/>
      <family val="2"/>
    </font>
    <font>
      <sz val="11"/>
      <color rgb="FF000000"/>
      <name val="Aptos Narrow"/>
      <family val="2"/>
      <scheme val="minor"/>
    </font>
    <font>
      <b/>
      <sz val="10"/>
      <color rgb="FFFFFFFF"/>
      <name val="Arial"/>
      <family val="2"/>
    </font>
    <font>
      <b/>
      <sz val="11"/>
      <color theme="9" tint="-0.499984740745262"/>
      <name val="Aptos Narrow"/>
      <family val="2"/>
      <scheme val="minor"/>
    </font>
    <font>
      <sz val="11"/>
      <name val="Aptos Narrow"/>
      <family val="2"/>
    </font>
    <font>
      <sz val="18"/>
      <name val="Arial"/>
      <family val="2"/>
    </font>
    <font>
      <b/>
      <sz val="18"/>
      <color rgb="FFFFFFFF"/>
      <name val="Aptos"/>
      <family val="2"/>
    </font>
    <font>
      <sz val="12"/>
      <name val="Arial"/>
      <family val="2"/>
    </font>
    <font>
      <b/>
      <sz val="12"/>
      <color rgb="FF000000"/>
      <name val="Aptos"/>
      <family val="2"/>
    </font>
    <font>
      <sz val="12"/>
      <color rgb="FF000000"/>
      <name val="Aptos"/>
      <family val="2"/>
    </font>
    <font>
      <sz val="8"/>
      <name val="Aptos Narrow"/>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7C7AC"/>
        <bgColor rgb="FF000000"/>
      </patternFill>
    </fill>
    <fill>
      <patternFill patternType="solid">
        <fgColor rgb="FF2E75B6"/>
        <bgColor rgb="FF0066CC"/>
      </patternFill>
    </fill>
    <fill>
      <patternFill patternType="solid">
        <fgColor theme="9" tint="0.79998168889431442"/>
        <bgColor indexed="64"/>
      </patternFill>
    </fill>
    <fill>
      <patternFill patternType="solid">
        <fgColor rgb="FF4F81BD"/>
        <bgColor indexed="64"/>
      </patternFill>
    </fill>
    <fill>
      <patternFill patternType="solid">
        <fgColor rgb="FFD0D8E8"/>
        <bgColor indexed="64"/>
      </patternFill>
    </fill>
    <fill>
      <patternFill patternType="solid">
        <fgColor rgb="FFE9EDF4"/>
        <bgColor indexed="64"/>
      </patternFill>
    </fill>
    <fill>
      <patternFill patternType="solid">
        <fgColor rgb="FFFFFF00"/>
        <bgColor indexed="64"/>
      </patternFill>
    </fill>
    <fill>
      <patternFill patternType="solid">
        <fgColor rgb="FFFF0000"/>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rgb="FF000000"/>
      </top>
      <bottom style="medium">
        <color rgb="FF000000"/>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4">
    <xf numFmtId="0" fontId="0" fillId="0" borderId="0"/>
    <xf numFmtId="43" fontId="2" fillId="0" borderId="0" applyFont="0" applyFill="0" applyBorder="0" applyAlignment="0" applyProtection="0">
      <alignment vertical="center"/>
    </xf>
    <xf numFmtId="0" fontId="8" fillId="0" borderId="0"/>
    <xf numFmtId="9" fontId="2" fillId="0" borderId="0" applyFont="0" applyFill="0" applyBorder="0" applyAlignment="0" applyProtection="0"/>
  </cellStyleXfs>
  <cellXfs count="371">
    <xf numFmtId="0" fontId="0" fillId="0" borderId="0" xfId="0"/>
    <xf numFmtId="0" fontId="0" fillId="0" borderId="1" xfId="0" applyBorder="1"/>
    <xf numFmtId="0" fontId="0" fillId="0" borderId="1" xfId="0" applyBorder="1" applyAlignment="1">
      <alignment horizontal="center"/>
    </xf>
    <xf numFmtId="0" fontId="0" fillId="3" borderId="0" xfId="0" applyFill="1"/>
    <xf numFmtId="0" fontId="1" fillId="0" borderId="3" xfId="0" applyFont="1" applyBorder="1"/>
    <xf numFmtId="0" fontId="0" fillId="0" borderId="3" xfId="0" applyBorder="1"/>
    <xf numFmtId="164" fontId="0" fillId="0" borderId="3" xfId="1" applyNumberFormat="1" applyFont="1" applyBorder="1" applyAlignment="1"/>
    <xf numFmtId="0" fontId="0" fillId="4" borderId="3" xfId="0" applyFill="1" applyBorder="1"/>
    <xf numFmtId="164" fontId="0" fillId="4" borderId="3" xfId="1" applyNumberFormat="1" applyFont="1" applyFill="1" applyBorder="1" applyAlignment="1"/>
    <xf numFmtId="0" fontId="0" fillId="5" borderId="3" xfId="0" applyFill="1" applyBorder="1"/>
    <xf numFmtId="164" fontId="0" fillId="5" borderId="3" xfId="1" applyNumberFormat="1" applyFont="1" applyFill="1" applyBorder="1" applyAlignment="1"/>
    <xf numFmtId="0" fontId="0" fillId="6" borderId="3" xfId="0" applyFill="1" applyBorder="1"/>
    <xf numFmtId="164" fontId="0" fillId="6" borderId="3" xfId="1" applyNumberFormat="1" applyFont="1" applyFill="1" applyBorder="1" applyAlignment="1"/>
    <xf numFmtId="164" fontId="1" fillId="0" borderId="3" xfId="1" applyNumberFormat="1" applyFont="1" applyBorder="1" applyAlignment="1"/>
    <xf numFmtId="164" fontId="1" fillId="4" borderId="3" xfId="1" applyNumberFormat="1" applyFont="1" applyFill="1" applyBorder="1" applyAlignment="1"/>
    <xf numFmtId="165" fontId="1" fillId="0" borderId="3" xfId="1" applyNumberFormat="1" applyFont="1" applyBorder="1" applyAlignment="1"/>
    <xf numFmtId="0" fontId="0" fillId="2" borderId="3" xfId="0" applyFill="1" applyBorder="1"/>
    <xf numFmtId="164" fontId="0" fillId="2" borderId="3" xfId="1" applyNumberFormat="1" applyFont="1" applyFill="1" applyBorder="1" applyAlignment="1"/>
    <xf numFmtId="165" fontId="0" fillId="5" borderId="3" xfId="1" applyNumberFormat="1" applyFont="1" applyFill="1" applyBorder="1" applyAlignment="1"/>
    <xf numFmtId="164" fontId="2" fillId="6" borderId="3" xfId="1" applyNumberFormat="1" applyFont="1" applyFill="1" applyBorder="1" applyAlignment="1"/>
    <xf numFmtId="164" fontId="2" fillId="5" borderId="3" xfId="1" applyNumberFormat="1" applyFont="1" applyFill="1" applyBorder="1" applyAlignment="1"/>
    <xf numFmtId="164" fontId="2" fillId="0" borderId="3" xfId="1" applyNumberFormat="1" applyFont="1" applyFill="1" applyBorder="1" applyAlignment="1"/>
    <xf numFmtId="43" fontId="1" fillId="0" borderId="3" xfId="1" applyFont="1" applyBorder="1" applyAlignment="1"/>
    <xf numFmtId="164" fontId="0" fillId="3" borderId="0" xfId="1" applyNumberFormat="1" applyFont="1" applyFill="1" applyAlignment="1"/>
    <xf numFmtId="165" fontId="0" fillId="5" borderId="3" xfId="0" applyNumberFormat="1" applyFill="1" applyBorder="1"/>
    <xf numFmtId="3" fontId="3" fillId="6" borderId="0" xfId="0" applyNumberFormat="1" applyFont="1" applyFill="1"/>
    <xf numFmtId="43" fontId="0" fillId="5" borderId="3" xfId="1" applyFont="1" applyFill="1" applyBorder="1" applyAlignment="1"/>
    <xf numFmtId="43" fontId="0" fillId="5" borderId="3" xfId="0" applyNumberFormat="1" applyFill="1" applyBorder="1"/>
    <xf numFmtId="43" fontId="0" fillId="6" borderId="3" xfId="0" applyNumberFormat="1" applyFill="1" applyBorder="1"/>
    <xf numFmtId="3" fontId="0" fillId="6" borderId="3" xfId="0" applyNumberFormat="1" applyFill="1" applyBorder="1"/>
    <xf numFmtId="0" fontId="0" fillId="7" borderId="3" xfId="0" applyFill="1" applyBorder="1"/>
    <xf numFmtId="43" fontId="0" fillId="7" borderId="3" xfId="0" applyNumberFormat="1" applyFill="1" applyBorder="1"/>
    <xf numFmtId="164" fontId="0" fillId="7" borderId="3" xfId="0" applyNumberFormat="1" applyFill="1" applyBorder="1"/>
    <xf numFmtId="164" fontId="0" fillId="7" borderId="3" xfId="1" applyNumberFormat="1" applyFont="1" applyFill="1" applyBorder="1" applyAlignment="1"/>
    <xf numFmtId="164" fontId="2" fillId="7" borderId="3" xfId="1" applyNumberFormat="1" applyFont="1" applyFill="1" applyBorder="1" applyAlignment="1"/>
    <xf numFmtId="3" fontId="0" fillId="7" borderId="3" xfId="0" applyNumberFormat="1" applyFill="1" applyBorder="1"/>
    <xf numFmtId="164" fontId="1" fillId="2" borderId="3" xfId="1" applyNumberFormat="1" applyFont="1" applyFill="1" applyBorder="1" applyAlignment="1"/>
    <xf numFmtId="0" fontId="1" fillId="0" borderId="0" xfId="0" applyFont="1"/>
    <xf numFmtId="0" fontId="0" fillId="5" borderId="4" xfId="0" applyFill="1" applyBorder="1"/>
    <xf numFmtId="164" fontId="0" fillId="5" borderId="4" xfId="1" applyNumberFormat="1" applyFont="1" applyFill="1" applyBorder="1" applyAlignment="1"/>
    <xf numFmtId="0" fontId="0" fillId="0" borderId="5" xfId="0" applyBorder="1"/>
    <xf numFmtId="3" fontId="4" fillId="2" borderId="0" xfId="0" applyNumberFormat="1" applyFont="1" applyFill="1"/>
    <xf numFmtId="0" fontId="0" fillId="2" borderId="6" xfId="0" applyFill="1" applyBorder="1"/>
    <xf numFmtId="164" fontId="0" fillId="2" borderId="6" xfId="1" applyNumberFormat="1" applyFont="1" applyFill="1" applyBorder="1" applyAlignment="1"/>
    <xf numFmtId="164" fontId="0" fillId="2" borderId="3" xfId="0" applyNumberFormat="1" applyFill="1" applyBorder="1"/>
    <xf numFmtId="3" fontId="0" fillId="2" borderId="3" xfId="0" applyNumberFormat="1" applyFill="1" applyBorder="1"/>
    <xf numFmtId="164" fontId="0" fillId="2" borderId="0" xfId="1" applyNumberFormat="1" applyFont="1" applyFill="1" applyBorder="1" applyAlignment="1"/>
    <xf numFmtId="164" fontId="0" fillId="6" borderId="3" xfId="0" applyNumberFormat="1" applyFill="1" applyBorder="1"/>
    <xf numFmtId="0" fontId="1" fillId="4" borderId="3" xfId="0" applyFont="1" applyFill="1" applyBorder="1"/>
    <xf numFmtId="43" fontId="1" fillId="5" borderId="3" xfId="0" applyNumberFormat="1" applyFont="1" applyFill="1" applyBorder="1"/>
    <xf numFmtId="0" fontId="1" fillId="5" borderId="3" xfId="0" applyFont="1" applyFill="1" applyBorder="1"/>
    <xf numFmtId="0" fontId="0" fillId="8" borderId="3" xfId="0" applyFill="1" applyBorder="1"/>
    <xf numFmtId="164" fontId="2" fillId="8" borderId="3" xfId="1" applyNumberFormat="1" applyFont="1" applyFill="1" applyBorder="1" applyAlignment="1"/>
    <xf numFmtId="164" fontId="0" fillId="8" borderId="3" xfId="0" applyNumberFormat="1" applyFill="1" applyBorder="1"/>
    <xf numFmtId="0" fontId="3" fillId="2" borderId="1" xfId="0" applyFont="1" applyFill="1" applyBorder="1"/>
    <xf numFmtId="3" fontId="3" fillId="2" borderId="1" xfId="0" applyNumberFormat="1" applyFont="1" applyFill="1" applyBorder="1"/>
    <xf numFmtId="165" fontId="0" fillId="2" borderId="3" xfId="0" applyNumberFormat="1" applyFill="1" applyBorder="1"/>
    <xf numFmtId="3" fontId="0" fillId="5" borderId="3" xfId="0" applyNumberFormat="1" applyFill="1" applyBorder="1"/>
    <xf numFmtId="164" fontId="2" fillId="2" borderId="3" xfId="1" applyNumberFormat="1" applyFont="1" applyFill="1" applyBorder="1" applyAlignment="1"/>
    <xf numFmtId="0" fontId="1" fillId="3" borderId="0" xfId="0" applyFont="1" applyFill="1"/>
    <xf numFmtId="164" fontId="1" fillId="3" borderId="0" xfId="1" applyNumberFormat="1" applyFont="1" applyFill="1" applyBorder="1" applyAlignment="1"/>
    <xf numFmtId="0" fontId="1" fillId="9" borderId="3" xfId="0" applyFont="1" applyFill="1" applyBorder="1"/>
    <xf numFmtId="0" fontId="0" fillId="9" borderId="3" xfId="0" applyFill="1" applyBorder="1"/>
    <xf numFmtId="164" fontId="1" fillId="9" borderId="3" xfId="1" applyNumberFormat="1" applyFont="1" applyFill="1" applyBorder="1" applyAlignment="1"/>
    <xf numFmtId="164" fontId="0" fillId="0" borderId="0" xfId="1" applyNumberFormat="1" applyFont="1" applyAlignment="1"/>
    <xf numFmtId="0" fontId="5" fillId="0" borderId="1" xfId="0" applyFont="1" applyBorder="1"/>
    <xf numFmtId="0" fontId="5" fillId="0" borderId="3" xfId="0" applyFont="1" applyBorder="1"/>
    <xf numFmtId="0" fontId="5" fillId="0" borderId="0" xfId="0" applyFont="1"/>
    <xf numFmtId="0" fontId="0" fillId="0" borderId="7" xfId="0" applyBorder="1"/>
    <xf numFmtId="164" fontId="0" fillId="4" borderId="8" xfId="1" applyNumberFormat="1" applyFont="1" applyFill="1" applyBorder="1" applyAlignment="1"/>
    <xf numFmtId="0" fontId="0" fillId="4" borderId="5" xfId="0" applyFill="1" applyBorder="1"/>
    <xf numFmtId="3" fontId="4" fillId="2" borderId="1" xfId="0" applyNumberFormat="1" applyFont="1" applyFill="1" applyBorder="1"/>
    <xf numFmtId="165" fontId="0" fillId="2" borderId="1" xfId="0" applyNumberFormat="1" applyFill="1" applyBorder="1"/>
    <xf numFmtId="0" fontId="0" fillId="5" borderId="6" xfId="0" applyFill="1" applyBorder="1"/>
    <xf numFmtId="3" fontId="3" fillId="2" borderId="0" xfId="0" applyNumberFormat="1" applyFont="1" applyFill="1"/>
    <xf numFmtId="9" fontId="1" fillId="0" borderId="3" xfId="1" applyNumberFormat="1" applyFont="1" applyFill="1" applyBorder="1" applyAlignment="1"/>
    <xf numFmtId="0" fontId="11" fillId="0" borderId="3" xfId="0" applyFont="1" applyBorder="1"/>
    <xf numFmtId="0" fontId="11" fillId="2" borderId="3" xfId="0" applyFont="1" applyFill="1" applyBorder="1"/>
    <xf numFmtId="164" fontId="11" fillId="2" borderId="3" xfId="1" applyNumberFormat="1" applyFont="1" applyFill="1" applyBorder="1" applyAlignment="1"/>
    <xf numFmtId="0" fontId="11" fillId="4" borderId="3" xfId="0" applyFont="1" applyFill="1" applyBorder="1"/>
    <xf numFmtId="43" fontId="0" fillId="2" borderId="3" xfId="0" applyNumberFormat="1" applyFill="1" applyBorder="1"/>
    <xf numFmtId="0" fontId="3" fillId="10" borderId="3" xfId="0" applyFont="1" applyFill="1" applyBorder="1"/>
    <xf numFmtId="0" fontId="3" fillId="10" borderId="7" xfId="0" applyFont="1" applyFill="1" applyBorder="1"/>
    <xf numFmtId="3" fontId="3" fillId="10" borderId="7" xfId="0" applyNumberFormat="1" applyFont="1" applyFill="1" applyBorder="1"/>
    <xf numFmtId="0" fontId="3" fillId="5" borderId="3" xfId="0" applyFont="1" applyFill="1" applyBorder="1"/>
    <xf numFmtId="0" fontId="3" fillId="5" borderId="7" xfId="0" applyFont="1" applyFill="1" applyBorder="1"/>
    <xf numFmtId="3" fontId="3" fillId="5" borderId="7" xfId="0" applyNumberFormat="1" applyFont="1" applyFill="1" applyBorder="1"/>
    <xf numFmtId="4" fontId="0" fillId="6" borderId="3" xfId="0" applyNumberFormat="1" applyFill="1" applyBorder="1"/>
    <xf numFmtId="43" fontId="2" fillId="6" borderId="3" xfId="1" applyFont="1" applyFill="1" applyBorder="1" applyAlignment="1"/>
    <xf numFmtId="165" fontId="0" fillId="0" borderId="3" xfId="0" applyNumberFormat="1" applyBorder="1"/>
    <xf numFmtId="165" fontId="1" fillId="0" borderId="3" xfId="0" applyNumberFormat="1" applyFont="1" applyBorder="1"/>
    <xf numFmtId="9" fontId="0" fillId="0" borderId="3" xfId="0" applyNumberFormat="1" applyBorder="1"/>
    <xf numFmtId="9" fontId="0" fillId="0" borderId="3" xfId="1" applyNumberFormat="1" applyFont="1" applyFill="1" applyBorder="1" applyAlignment="1"/>
    <xf numFmtId="9" fontId="1" fillId="0" borderId="3" xfId="0" applyNumberFormat="1" applyFont="1" applyBorder="1"/>
    <xf numFmtId="43" fontId="0" fillId="0" borderId="3" xfId="0" applyNumberFormat="1" applyBorder="1"/>
    <xf numFmtId="43" fontId="1" fillId="0" borderId="3" xfId="0" applyNumberFormat="1" applyFont="1" applyBorder="1"/>
    <xf numFmtId="9" fontId="0" fillId="0" borderId="7" xfId="0" applyNumberFormat="1" applyBorder="1"/>
    <xf numFmtId="43" fontId="0" fillId="2" borderId="1" xfId="0" applyNumberFormat="1" applyFill="1" applyBorder="1"/>
    <xf numFmtId="164" fontId="1" fillId="0" borderId="3" xfId="0" applyNumberFormat="1" applyFont="1" applyBorder="1"/>
    <xf numFmtId="164" fontId="0" fillId="5" borderId="3" xfId="0" applyNumberFormat="1" applyFill="1" applyBorder="1"/>
    <xf numFmtId="0" fontId="12" fillId="11" borderId="1" xfId="0" applyFont="1" applyFill="1" applyBorder="1" applyAlignment="1">
      <alignment horizontal="center" vertical="center" wrapText="1"/>
    </xf>
    <xf numFmtId="0" fontId="12" fillId="11" borderId="1" xfId="0" applyFont="1" applyFill="1" applyBorder="1" applyAlignment="1">
      <alignment horizontal="left" vertical="center" wrapText="1" indent="1"/>
    </xf>
    <xf numFmtId="0" fontId="12" fillId="11" borderId="1" xfId="0" applyFont="1" applyFill="1" applyBorder="1" applyAlignment="1">
      <alignment horizontal="center" vertical="center" wrapText="1" indent="1"/>
    </xf>
    <xf numFmtId="9" fontId="12" fillId="11" borderId="1" xfId="0" applyNumberFormat="1" applyFont="1" applyFill="1" applyBorder="1" applyAlignment="1">
      <alignment horizontal="center" vertical="center" wrapText="1" indent="1"/>
    </xf>
    <xf numFmtId="0" fontId="12" fillId="11" borderId="1" xfId="0" applyFont="1" applyFill="1" applyBorder="1" applyAlignment="1">
      <alignment horizontal="left" vertical="center" wrapText="1"/>
    </xf>
    <xf numFmtId="0" fontId="13" fillId="12" borderId="1" xfId="0" applyFont="1" applyFill="1" applyBorder="1" applyAlignment="1">
      <alignment horizontal="center" vertical="center" wrapText="1"/>
    </xf>
    <xf numFmtId="0" fontId="2" fillId="0" borderId="1" xfId="0" applyFont="1" applyBorder="1" applyAlignment="1">
      <alignment horizontal="center" vertical="center"/>
    </xf>
    <xf numFmtId="0" fontId="11" fillId="0" borderId="1" xfId="0" applyFont="1" applyBorder="1" applyAlignment="1">
      <alignment horizontal="left" vertical="center" indent="1"/>
    </xf>
    <xf numFmtId="0" fontId="2" fillId="0" borderId="1" xfId="0" applyFont="1" applyBorder="1" applyAlignment="1">
      <alignment horizontal="left" vertical="center" indent="1"/>
    </xf>
    <xf numFmtId="14" fontId="2" fillId="0" borderId="1" xfId="0" applyNumberFormat="1" applyFont="1" applyBorder="1" applyAlignment="1">
      <alignment horizontal="left" vertical="center" indent="1"/>
    </xf>
    <xf numFmtId="3" fontId="2" fillId="0" borderId="1" xfId="0" applyNumberFormat="1" applyFont="1" applyBorder="1" applyAlignment="1">
      <alignment horizontal="center" vertical="center" indent="1"/>
    </xf>
    <xf numFmtId="4" fontId="2" fillId="0" borderId="1" xfId="0" applyNumberFormat="1" applyFont="1" applyBorder="1" applyAlignment="1">
      <alignment horizontal="center" vertical="center" indent="1"/>
    </xf>
    <xf numFmtId="9" fontId="2" fillId="0" borderId="1" xfId="0" applyNumberFormat="1" applyFont="1" applyBorder="1" applyAlignment="1">
      <alignment horizontal="center" vertical="center" indent="1"/>
    </xf>
    <xf numFmtId="0" fontId="2" fillId="0" borderId="1" xfId="0" applyFont="1" applyBorder="1" applyAlignment="1">
      <alignment horizontal="center" vertical="center" indent="1"/>
    </xf>
    <xf numFmtId="0" fontId="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0" fillId="0" borderId="1" xfId="0" applyBorder="1" applyAlignment="1">
      <alignment horizontal="left" vertical="center"/>
    </xf>
    <xf numFmtId="4" fontId="0" fillId="0" borderId="1" xfId="0" applyNumberFormat="1" applyBorder="1" applyAlignment="1">
      <alignment horizontal="center" vertical="center" indent="1"/>
    </xf>
    <xf numFmtId="0" fontId="0" fillId="0" borderId="1" xfId="0" applyBorder="1" applyAlignment="1">
      <alignment horizontal="left" vertical="center" indent="1"/>
    </xf>
    <xf numFmtId="14" fontId="2" fillId="0" borderId="1" xfId="0" applyNumberFormat="1" applyFont="1" applyBorder="1" applyAlignment="1">
      <alignment horizontal="left" vertical="center" indent="2"/>
    </xf>
    <xf numFmtId="14" fontId="2" fillId="0" borderId="1" xfId="0" applyNumberFormat="1" applyFont="1" applyBorder="1" applyAlignment="1">
      <alignment horizontal="center" vertical="center" indent="2"/>
    </xf>
    <xf numFmtId="9" fontId="0" fillId="0" borderId="1" xfId="0" applyNumberFormat="1" applyBorder="1" applyAlignment="1">
      <alignment horizontal="center" vertical="center" indent="1"/>
    </xf>
    <xf numFmtId="0" fontId="2" fillId="0" borderId="1" xfId="0" applyFont="1" applyBorder="1" applyAlignment="1">
      <alignment horizontal="center" vertical="center" indent="2"/>
    </xf>
    <xf numFmtId="0" fontId="2" fillId="0" borderId="1" xfId="0" applyFont="1" applyBorder="1" applyAlignment="1">
      <alignment horizontal="left" vertical="center"/>
    </xf>
    <xf numFmtId="0" fontId="13" fillId="12" borderId="1" xfId="0" applyFont="1" applyFill="1" applyBorder="1" applyAlignment="1">
      <alignment horizontal="center" vertical="center"/>
    </xf>
    <xf numFmtId="0" fontId="2" fillId="0" borderId="1" xfId="0" applyFont="1" applyBorder="1" applyAlignment="1">
      <alignment horizontal="left" vertical="center" indent="2"/>
    </xf>
    <xf numFmtId="43" fontId="0" fillId="2" borderId="0" xfId="0" applyNumberFormat="1" applyFill="1"/>
    <xf numFmtId="43" fontId="0" fillId="6" borderId="4" xfId="0" applyNumberFormat="1" applyFill="1" applyBorder="1"/>
    <xf numFmtId="4" fontId="0" fillId="2" borderId="3" xfId="0" applyNumberFormat="1" applyFill="1" applyBorder="1"/>
    <xf numFmtId="43" fontId="0" fillId="7" borderId="3" xfId="1" applyFont="1" applyFill="1" applyBorder="1" applyAlignment="1"/>
    <xf numFmtId="43" fontId="11" fillId="2" borderId="3" xfId="0" applyNumberFormat="1" applyFont="1" applyFill="1" applyBorder="1"/>
    <xf numFmtId="43" fontId="11" fillId="2" borderId="3" xfId="1" applyFont="1" applyFill="1" applyBorder="1" applyAlignment="1"/>
    <xf numFmtId="43" fontId="0" fillId="2" borderId="3" xfId="1" applyFont="1" applyFill="1" applyBorder="1" applyAlignment="1"/>
    <xf numFmtId="43" fontId="0" fillId="6" borderId="3" xfId="1" applyFont="1" applyFill="1" applyBorder="1" applyAlignment="1"/>
    <xf numFmtId="43" fontId="0" fillId="4" borderId="3" xfId="0" applyNumberFormat="1" applyFill="1" applyBorder="1"/>
    <xf numFmtId="43" fontId="2" fillId="2" borderId="3" xfId="1" applyFont="1" applyFill="1" applyBorder="1" applyAlignment="1"/>
    <xf numFmtId="43" fontId="0" fillId="4" borderId="5" xfId="0" applyNumberFormat="1" applyFill="1" applyBorder="1"/>
    <xf numFmtId="43" fontId="1" fillId="4" borderId="3" xfId="0" applyNumberFormat="1" applyFont="1" applyFill="1" applyBorder="1"/>
    <xf numFmtId="43" fontId="1" fillId="0" borderId="6" xfId="1" applyFont="1" applyBorder="1" applyAlignment="1"/>
    <xf numFmtId="43" fontId="1" fillId="0" borderId="9" xfId="1" applyFont="1" applyFill="1" applyBorder="1" applyAlignment="1"/>
    <xf numFmtId="9" fontId="1" fillId="4" borderId="3" xfId="1" applyNumberFormat="1" applyFont="1" applyFill="1" applyBorder="1" applyAlignment="1"/>
    <xf numFmtId="165" fontId="5" fillId="2" borderId="3" xfId="1" applyNumberFormat="1" applyFont="1" applyFill="1" applyBorder="1" applyAlignment="1"/>
    <xf numFmtId="164" fontId="5" fillId="0" borderId="3" xfId="1" applyNumberFormat="1" applyFont="1" applyBorder="1" applyAlignment="1"/>
    <xf numFmtId="0" fontId="5" fillId="5" borderId="3" xfId="0" applyFont="1" applyFill="1" applyBorder="1"/>
    <xf numFmtId="164" fontId="5" fillId="5" borderId="3" xfId="1" applyNumberFormat="1" applyFont="1" applyFill="1" applyBorder="1" applyAlignment="1"/>
    <xf numFmtId="164" fontId="5" fillId="6" borderId="3" xfId="1" applyNumberFormat="1" applyFont="1" applyFill="1" applyBorder="1" applyAlignment="1"/>
    <xf numFmtId="165" fontId="6" fillId="0" borderId="3" xfId="1" applyNumberFormat="1" applyFont="1" applyBorder="1" applyAlignment="1"/>
    <xf numFmtId="165" fontId="5" fillId="6" borderId="3" xfId="1" applyNumberFormat="1" applyFont="1" applyFill="1" applyBorder="1" applyAlignment="1"/>
    <xf numFmtId="165" fontId="5" fillId="5" borderId="3" xfId="1" applyNumberFormat="1" applyFont="1" applyFill="1" applyBorder="1" applyAlignment="1"/>
    <xf numFmtId="43" fontId="5" fillId="2" borderId="3" xfId="1" applyFont="1" applyFill="1" applyBorder="1" applyAlignment="1"/>
    <xf numFmtId="43" fontId="6" fillId="0" borderId="3" xfId="1" applyFont="1" applyBorder="1" applyAlignment="1"/>
    <xf numFmtId="164" fontId="6" fillId="0" borderId="3" xfId="1" applyNumberFormat="1" applyFont="1" applyBorder="1" applyAlignment="1"/>
    <xf numFmtId="0" fontId="5" fillId="3" borderId="0" xfId="0" applyFont="1" applyFill="1"/>
    <xf numFmtId="0" fontId="14" fillId="6" borderId="0" xfId="0" applyFont="1" applyFill="1"/>
    <xf numFmtId="43" fontId="5" fillId="5" borderId="3" xfId="1" applyFont="1" applyFill="1" applyBorder="1" applyAlignment="1"/>
    <xf numFmtId="43" fontId="5" fillId="5" borderId="3" xfId="0" applyNumberFormat="1" applyFont="1" applyFill="1" applyBorder="1"/>
    <xf numFmtId="43" fontId="5" fillId="6" borderId="3" xfId="0" applyNumberFormat="1" applyFont="1" applyFill="1" applyBorder="1"/>
    <xf numFmtId="43" fontId="5" fillId="7" borderId="3" xfId="0" applyNumberFormat="1" applyFont="1" applyFill="1" applyBorder="1"/>
    <xf numFmtId="0" fontId="14" fillId="2" borderId="0" xfId="0" applyFont="1" applyFill="1"/>
    <xf numFmtId="164" fontId="5" fillId="2" borderId="3" xfId="0" applyNumberFormat="1" applyFont="1" applyFill="1" applyBorder="1"/>
    <xf numFmtId="166" fontId="5" fillId="2" borderId="3" xfId="0" applyNumberFormat="1" applyFont="1" applyFill="1" applyBorder="1"/>
    <xf numFmtId="165" fontId="5" fillId="2" borderId="0" xfId="1" applyNumberFormat="1" applyFont="1" applyFill="1" applyBorder="1" applyAlignment="1"/>
    <xf numFmtId="43" fontId="6" fillId="5" borderId="3" xfId="0" applyNumberFormat="1" applyFont="1" applyFill="1" applyBorder="1"/>
    <xf numFmtId="0" fontId="5" fillId="6" borderId="3" xfId="0" applyFont="1" applyFill="1" applyBorder="1"/>
    <xf numFmtId="0" fontId="6" fillId="0" borderId="3" xfId="0" applyFont="1" applyBorder="1"/>
    <xf numFmtId="167" fontId="6" fillId="0" borderId="3" xfId="1" applyNumberFormat="1" applyFont="1" applyBorder="1" applyAlignment="1"/>
    <xf numFmtId="43" fontId="5" fillId="7" borderId="3" xfId="1" applyFont="1" applyFill="1" applyBorder="1" applyAlignment="1"/>
    <xf numFmtId="0" fontId="5" fillId="7" borderId="3" xfId="0" applyFont="1" applyFill="1" applyBorder="1"/>
    <xf numFmtId="0" fontId="5" fillId="5" borderId="4" xfId="0" applyFont="1" applyFill="1" applyBorder="1"/>
    <xf numFmtId="0" fontId="5" fillId="5" borderId="6" xfId="0" applyFont="1" applyFill="1" applyBorder="1"/>
    <xf numFmtId="0" fontId="14" fillId="2" borderId="1" xfId="0" applyFont="1" applyFill="1" applyBorder="1"/>
    <xf numFmtId="0" fontId="5" fillId="2" borderId="1" xfId="0" applyFont="1" applyFill="1" applyBorder="1"/>
    <xf numFmtId="0" fontId="5" fillId="2" borderId="3" xfId="0" applyFont="1" applyFill="1" applyBorder="1"/>
    <xf numFmtId="0" fontId="6" fillId="5" borderId="3" xfId="0" applyFont="1" applyFill="1" applyBorder="1"/>
    <xf numFmtId="165" fontId="5" fillId="8" borderId="3" xfId="0" applyNumberFormat="1" applyFont="1" applyFill="1" applyBorder="1"/>
    <xf numFmtId="0" fontId="6" fillId="3" borderId="0" xfId="0" applyFont="1" applyFill="1"/>
    <xf numFmtId="164" fontId="5" fillId="2" borderId="3" xfId="1" applyNumberFormat="1" applyFont="1" applyFill="1" applyBorder="1" applyAlignment="1"/>
    <xf numFmtId="165" fontId="6" fillId="0" borderId="3" xfId="0" applyNumberFormat="1" applyFont="1" applyBorder="1"/>
    <xf numFmtId="43" fontId="5" fillId="2" borderId="3" xfId="0" applyNumberFormat="1" applyFont="1" applyFill="1" applyBorder="1"/>
    <xf numFmtId="43" fontId="5" fillId="6" borderId="3" xfId="1" applyFont="1" applyFill="1" applyBorder="1" applyAlignment="1"/>
    <xf numFmtId="43" fontId="5" fillId="6" borderId="4" xfId="0" applyNumberFormat="1" applyFont="1" applyFill="1" applyBorder="1"/>
    <xf numFmtId="43" fontId="5" fillId="2" borderId="1" xfId="0" applyNumberFormat="1" applyFont="1" applyFill="1" applyBorder="1"/>
    <xf numFmtId="43" fontId="5" fillId="2" borderId="0" xfId="0" applyNumberFormat="1" applyFont="1" applyFill="1"/>
    <xf numFmtId="43" fontId="6" fillId="0" borderId="6" xfId="1" applyFont="1" applyBorder="1" applyAlignment="1"/>
    <xf numFmtId="164" fontId="6" fillId="0" borderId="3" xfId="0" applyNumberFormat="1" applyFont="1" applyBorder="1"/>
    <xf numFmtId="43" fontId="6" fillId="0" borderId="3" xfId="0" applyNumberFormat="1" applyFont="1" applyBorder="1"/>
    <xf numFmtId="43" fontId="6" fillId="0" borderId="9" xfId="1" applyFont="1" applyFill="1" applyBorder="1" applyAlignment="1"/>
    <xf numFmtId="164" fontId="6" fillId="9" borderId="3" xfId="1" applyNumberFormat="1" applyFont="1" applyFill="1" applyBorder="1" applyAlignment="1"/>
    <xf numFmtId="164" fontId="1" fillId="4" borderId="3" xfId="0" applyNumberFormat="1" applyFont="1" applyFill="1" applyBorder="1"/>
    <xf numFmtId="0" fontId="14" fillId="2" borderId="3" xfId="0" applyFont="1" applyFill="1" applyBorder="1"/>
    <xf numFmtId="3" fontId="3" fillId="2" borderId="3" xfId="0" applyNumberFormat="1" applyFont="1" applyFill="1" applyBorder="1"/>
    <xf numFmtId="9" fontId="0" fillId="0" borderId="5" xfId="0" applyNumberFormat="1" applyBorder="1"/>
    <xf numFmtId="9" fontId="1" fillId="0" borderId="5" xfId="0" applyNumberFormat="1" applyFont="1" applyBorder="1"/>
    <xf numFmtId="9" fontId="1" fillId="0" borderId="5" xfId="1" applyNumberFormat="1" applyFont="1" applyFill="1" applyBorder="1" applyAlignment="1"/>
    <xf numFmtId="169" fontId="6" fillId="0" borderId="3" xfId="0" applyNumberFormat="1" applyFont="1" applyBorder="1"/>
    <xf numFmtId="169" fontId="1" fillId="0" borderId="3" xfId="1" applyNumberFormat="1" applyFont="1" applyBorder="1" applyAlignment="1"/>
    <xf numFmtId="164" fontId="0" fillId="7" borderId="5" xfId="1" applyNumberFormat="1" applyFont="1" applyFill="1" applyBorder="1" applyAlignment="1"/>
    <xf numFmtId="43" fontId="0" fillId="6" borderId="5" xfId="1" applyFont="1" applyFill="1" applyBorder="1" applyAlignment="1"/>
    <xf numFmtId="9" fontId="0" fillId="5" borderId="3" xfId="3" applyFont="1" applyFill="1" applyBorder="1" applyAlignment="1"/>
    <xf numFmtId="9" fontId="0" fillId="6" borderId="3" xfId="3" applyFont="1" applyFill="1" applyBorder="1" applyAlignment="1"/>
    <xf numFmtId="9" fontId="0" fillId="0" borderId="3" xfId="3" applyFont="1" applyBorder="1" applyAlignment="1"/>
    <xf numFmtId="9" fontId="1" fillId="0" borderId="3" xfId="3" applyFont="1" applyBorder="1" applyAlignment="1"/>
    <xf numFmtId="9" fontId="0" fillId="2" borderId="3" xfId="3" applyFont="1" applyFill="1" applyBorder="1" applyAlignment="1"/>
    <xf numFmtId="9" fontId="2" fillId="6" borderId="3" xfId="3" applyFont="1" applyFill="1" applyBorder="1" applyAlignment="1"/>
    <xf numFmtId="9" fontId="2" fillId="5" borderId="3" xfId="3" applyFont="1" applyFill="1" applyBorder="1" applyAlignment="1"/>
    <xf numFmtId="9" fontId="0" fillId="3" borderId="0" xfId="3" applyFont="1" applyFill="1" applyAlignment="1"/>
    <xf numFmtId="9" fontId="0" fillId="7" borderId="3" xfId="3" applyFont="1" applyFill="1" applyBorder="1"/>
    <xf numFmtId="9" fontId="0" fillId="7" borderId="3" xfId="3" applyFont="1" applyFill="1" applyBorder="1" applyAlignment="1"/>
    <xf numFmtId="9" fontId="1" fillId="2" borderId="3" xfId="3" applyFont="1" applyFill="1" applyBorder="1" applyAlignment="1"/>
    <xf numFmtId="9" fontId="0" fillId="5" borderId="4" xfId="3" applyFont="1" applyFill="1" applyBorder="1" applyAlignment="1"/>
    <xf numFmtId="9" fontId="0" fillId="2" borderId="6" xfId="3" applyFont="1" applyFill="1" applyBorder="1" applyAlignment="1"/>
    <xf numFmtId="9" fontId="0" fillId="5" borderId="3" xfId="3" applyFont="1" applyFill="1" applyBorder="1"/>
    <xf numFmtId="9" fontId="0" fillId="2" borderId="6" xfId="3" applyFont="1" applyFill="1" applyBorder="1"/>
    <xf numFmtId="9" fontId="3" fillId="10" borderId="7" xfId="3" applyFont="1" applyFill="1" applyBorder="1"/>
    <xf numFmtId="9" fontId="3" fillId="2" borderId="0" xfId="3" applyFont="1" applyFill="1" applyBorder="1"/>
    <xf numFmtId="9" fontId="0" fillId="7" borderId="5" xfId="3" applyFont="1" applyFill="1" applyBorder="1" applyAlignment="1"/>
    <xf numFmtId="9" fontId="3" fillId="5" borderId="7" xfId="3" applyFont="1" applyFill="1" applyBorder="1"/>
    <xf numFmtId="9" fontId="0" fillId="2" borderId="3" xfId="3" applyFont="1" applyFill="1" applyBorder="1"/>
    <xf numFmtId="9" fontId="2" fillId="8" borderId="3" xfId="3" applyFont="1" applyFill="1" applyBorder="1" applyAlignment="1"/>
    <xf numFmtId="9" fontId="2" fillId="7" borderId="3" xfId="3" applyFont="1" applyFill="1" applyBorder="1" applyAlignment="1"/>
    <xf numFmtId="9" fontId="1" fillId="3" borderId="0" xfId="3" applyFont="1" applyFill="1" applyBorder="1" applyAlignment="1"/>
    <xf numFmtId="9" fontId="0" fillId="6" borderId="3" xfId="3" applyFont="1" applyFill="1" applyBorder="1"/>
    <xf numFmtId="9" fontId="11" fillId="2" borderId="3" xfId="3" applyFont="1" applyFill="1" applyBorder="1" applyAlignment="1"/>
    <xf numFmtId="9" fontId="0" fillId="0" borderId="3" xfId="3" applyFont="1" applyBorder="1"/>
    <xf numFmtId="9" fontId="2" fillId="2" borderId="3" xfId="3" applyFont="1" applyFill="1" applyBorder="1" applyAlignment="1"/>
    <xf numFmtId="9" fontId="11" fillId="2" borderId="3" xfId="3" applyFont="1" applyFill="1" applyBorder="1"/>
    <xf numFmtId="9" fontId="2" fillId="2" borderId="5" xfId="3" applyFont="1" applyFill="1" applyBorder="1" applyAlignment="1"/>
    <xf numFmtId="9" fontId="0" fillId="6" borderId="5" xfId="3" applyFont="1" applyFill="1" applyBorder="1" applyAlignment="1"/>
    <xf numFmtId="9" fontId="0" fillId="2" borderId="5" xfId="3" applyFont="1" applyFill="1" applyBorder="1"/>
    <xf numFmtId="9" fontId="6" fillId="0" borderId="3" xfId="3" applyFont="1" applyBorder="1" applyAlignment="1"/>
    <xf numFmtId="9" fontId="6" fillId="0" borderId="3" xfId="3" applyFont="1" applyBorder="1"/>
    <xf numFmtId="9" fontId="0" fillId="0" borderId="0" xfId="3" applyFont="1" applyAlignment="1"/>
    <xf numFmtId="9" fontId="2" fillId="0" borderId="3" xfId="3" applyFont="1" applyBorder="1" applyAlignment="1"/>
    <xf numFmtId="9" fontId="1" fillId="9" borderId="3" xfId="3" applyFont="1" applyFill="1" applyBorder="1" applyAlignment="1"/>
    <xf numFmtId="43" fontId="3" fillId="6" borderId="3" xfId="0" applyNumberFormat="1" applyFont="1" applyFill="1" applyBorder="1"/>
    <xf numFmtId="0" fontId="5" fillId="7" borderId="0" xfId="0" applyFont="1" applyFill="1"/>
    <xf numFmtId="165" fontId="5" fillId="7" borderId="3" xfId="1" applyNumberFormat="1" applyFont="1" applyFill="1" applyBorder="1" applyAlignment="1"/>
    <xf numFmtId="165" fontId="0" fillId="7" borderId="3" xfId="1" applyNumberFormat="1" applyFont="1" applyFill="1" applyBorder="1" applyAlignment="1"/>
    <xf numFmtId="43" fontId="2" fillId="5" borderId="3" xfId="1" applyFont="1" applyFill="1" applyBorder="1" applyAlignment="1"/>
    <xf numFmtId="43" fontId="5" fillId="5" borderId="4" xfId="0" applyNumberFormat="1" applyFont="1" applyFill="1" applyBorder="1"/>
    <xf numFmtId="43" fontId="0" fillId="5" borderId="4" xfId="0" applyNumberFormat="1" applyFill="1" applyBorder="1"/>
    <xf numFmtId="43" fontId="5" fillId="5" borderId="6" xfId="0" applyNumberFormat="1" applyFont="1" applyFill="1" applyBorder="1"/>
    <xf numFmtId="43" fontId="0" fillId="5" borderId="6" xfId="0" applyNumberFormat="1" applyFill="1" applyBorder="1"/>
    <xf numFmtId="9" fontId="1" fillId="5" borderId="5" xfId="0" applyNumberFormat="1" applyFont="1" applyFill="1" applyBorder="1"/>
    <xf numFmtId="9" fontId="0" fillId="5" borderId="5" xfId="0" applyNumberFormat="1" applyFill="1" applyBorder="1"/>
    <xf numFmtId="9" fontId="0" fillId="7" borderId="5" xfId="0" applyNumberFormat="1" applyFill="1" applyBorder="1"/>
    <xf numFmtId="9" fontId="0" fillId="6" borderId="3" xfId="1" applyNumberFormat="1" applyFont="1" applyFill="1" applyBorder="1" applyAlignment="1"/>
    <xf numFmtId="9" fontId="0" fillId="7" borderId="3" xfId="1" applyNumberFormat="1" applyFont="1" applyFill="1" applyBorder="1" applyAlignment="1"/>
    <xf numFmtId="9" fontId="0" fillId="6" borderId="3" xfId="0" applyNumberFormat="1" applyFill="1" applyBorder="1"/>
    <xf numFmtId="9" fontId="0" fillId="6" borderId="5" xfId="0" applyNumberFormat="1" applyFill="1" applyBorder="1"/>
    <xf numFmtId="9" fontId="2" fillId="0" borderId="3" xfId="3" applyFont="1" applyFill="1" applyBorder="1" applyAlignment="1"/>
    <xf numFmtId="3" fontId="0" fillId="0" borderId="3" xfId="0" applyNumberFormat="1" applyBorder="1"/>
    <xf numFmtId="9" fontId="0" fillId="7" borderId="3" xfId="0" applyNumberFormat="1" applyFill="1" applyBorder="1"/>
    <xf numFmtId="164" fontId="0" fillId="0" borderId="5" xfId="1" applyNumberFormat="1" applyFont="1" applyBorder="1" applyAlignment="1"/>
    <xf numFmtId="0" fontId="0" fillId="5" borderId="5" xfId="0" applyFill="1" applyBorder="1"/>
    <xf numFmtId="164" fontId="0" fillId="5" borderId="5" xfId="1" applyNumberFormat="1" applyFont="1" applyFill="1" applyBorder="1" applyAlignment="1"/>
    <xf numFmtId="164" fontId="0" fillId="6" borderId="5" xfId="1" applyNumberFormat="1" applyFont="1" applyFill="1" applyBorder="1" applyAlignment="1"/>
    <xf numFmtId="164" fontId="1" fillId="0" borderId="5" xfId="1" applyNumberFormat="1" applyFont="1" applyBorder="1" applyAlignment="1"/>
    <xf numFmtId="164" fontId="0" fillId="2" borderId="5" xfId="1" applyNumberFormat="1" applyFont="1" applyFill="1" applyBorder="1" applyAlignment="1"/>
    <xf numFmtId="165" fontId="1" fillId="0" borderId="5" xfId="1" applyNumberFormat="1" applyFont="1" applyBorder="1" applyAlignment="1"/>
    <xf numFmtId="165" fontId="0" fillId="5" borderId="5" xfId="1" applyNumberFormat="1" applyFont="1" applyFill="1" applyBorder="1" applyAlignment="1"/>
    <xf numFmtId="43" fontId="0" fillId="5" borderId="5" xfId="0" applyNumberFormat="1" applyFill="1" applyBorder="1"/>
    <xf numFmtId="3" fontId="0" fillId="6" borderId="5" xfId="0" applyNumberFormat="1" applyFill="1" applyBorder="1"/>
    <xf numFmtId="43" fontId="0" fillId="7" borderId="5" xfId="0" applyNumberFormat="1" applyFill="1" applyBorder="1"/>
    <xf numFmtId="3" fontId="0" fillId="7" borderId="5" xfId="0" applyNumberFormat="1" applyFill="1" applyBorder="1"/>
    <xf numFmtId="164" fontId="0" fillId="2" borderId="5" xfId="0" applyNumberFormat="1" applyFill="1" applyBorder="1"/>
    <xf numFmtId="3" fontId="0" fillId="2" borderId="5" xfId="0" applyNumberFormat="1" applyFill="1" applyBorder="1"/>
    <xf numFmtId="164" fontId="0" fillId="6" borderId="5" xfId="0" applyNumberFormat="1" applyFill="1" applyBorder="1"/>
    <xf numFmtId="0" fontId="1" fillId="5" borderId="5" xfId="0" applyFont="1" applyFill="1" applyBorder="1"/>
    <xf numFmtId="165" fontId="5" fillId="2" borderId="5" xfId="1" applyNumberFormat="1" applyFont="1" applyFill="1" applyBorder="1" applyAlignment="1"/>
    <xf numFmtId="0" fontId="1" fillId="0" borderId="5" xfId="0" applyFont="1" applyBorder="1"/>
    <xf numFmtId="164" fontId="0" fillId="5" borderId="5" xfId="0" applyNumberFormat="1" applyFill="1" applyBorder="1"/>
    <xf numFmtId="0" fontId="0" fillId="5" borderId="12" xfId="0" applyFill="1" applyBorder="1"/>
    <xf numFmtId="0" fontId="0" fillId="5" borderId="10" xfId="0" applyFill="1" applyBorder="1"/>
    <xf numFmtId="3" fontId="3" fillId="2" borderId="13" xfId="0" applyNumberFormat="1" applyFont="1" applyFill="1" applyBorder="1"/>
    <xf numFmtId="3" fontId="4" fillId="2" borderId="13" xfId="0" applyNumberFormat="1" applyFont="1" applyFill="1" applyBorder="1"/>
    <xf numFmtId="165" fontId="0" fillId="2" borderId="13" xfId="0" applyNumberFormat="1" applyFill="1" applyBorder="1"/>
    <xf numFmtId="3" fontId="0" fillId="5" borderId="5" xfId="0" applyNumberFormat="1" applyFill="1" applyBorder="1"/>
    <xf numFmtId="3" fontId="3" fillId="2" borderId="5" xfId="0" applyNumberFormat="1" applyFont="1" applyFill="1" applyBorder="1"/>
    <xf numFmtId="4" fontId="0" fillId="6" borderId="5" xfId="0" applyNumberFormat="1" applyFill="1" applyBorder="1"/>
    <xf numFmtId="164" fontId="0" fillId="8" borderId="5" xfId="0" applyNumberFormat="1" applyFill="1" applyBorder="1"/>
    <xf numFmtId="164" fontId="0" fillId="7" borderId="5" xfId="0" applyNumberFormat="1" applyFill="1" applyBorder="1"/>
    <xf numFmtId="3" fontId="0" fillId="0" borderId="5" xfId="0" applyNumberFormat="1" applyBorder="1"/>
    <xf numFmtId="4" fontId="0" fillId="2" borderId="5" xfId="0" applyNumberFormat="1" applyFill="1" applyBorder="1"/>
    <xf numFmtId="165" fontId="1" fillId="0" borderId="5" xfId="0" applyNumberFormat="1" applyFont="1" applyBorder="1"/>
    <xf numFmtId="165" fontId="0" fillId="2" borderId="5" xfId="0" applyNumberFormat="1" applyFill="1" applyBorder="1"/>
    <xf numFmtId="43" fontId="0" fillId="2" borderId="5" xfId="0" applyNumberFormat="1" applyFill="1" applyBorder="1"/>
    <xf numFmtId="164" fontId="5" fillId="2" borderId="5" xfId="1" applyNumberFormat="1" applyFont="1" applyFill="1" applyBorder="1" applyAlignment="1"/>
    <xf numFmtId="43" fontId="0" fillId="6" borderId="5" xfId="0" applyNumberFormat="1" applyFill="1" applyBorder="1"/>
    <xf numFmtId="43" fontId="0" fillId="2" borderId="5" xfId="1" applyFont="1" applyFill="1" applyBorder="1" applyAlignment="1"/>
    <xf numFmtId="43" fontId="10" fillId="6" borderId="5" xfId="0" applyNumberFormat="1" applyFont="1" applyFill="1" applyBorder="1" applyAlignment="1">
      <alignment wrapText="1"/>
    </xf>
    <xf numFmtId="43" fontId="11" fillId="2" borderId="5" xfId="0" applyNumberFormat="1" applyFont="1" applyFill="1" applyBorder="1"/>
    <xf numFmtId="43" fontId="0" fillId="6" borderId="12" xfId="0" applyNumberFormat="1" applyFill="1" applyBorder="1"/>
    <xf numFmtId="43" fontId="0" fillId="2" borderId="13" xfId="0" applyNumberFormat="1" applyFill="1" applyBorder="1"/>
    <xf numFmtId="43" fontId="1" fillId="0" borderId="5" xfId="1" applyFont="1" applyBorder="1" applyAlignment="1"/>
    <xf numFmtId="43" fontId="0" fillId="5" borderId="12" xfId="0" applyNumberFormat="1" applyFill="1" applyBorder="1"/>
    <xf numFmtId="43" fontId="0" fillId="5" borderId="10" xfId="0" applyNumberFormat="1" applyFill="1" applyBorder="1"/>
    <xf numFmtId="43" fontId="1" fillId="0" borderId="10" xfId="1" applyFont="1" applyBorder="1" applyAlignment="1"/>
    <xf numFmtId="43" fontId="5" fillId="2" borderId="5" xfId="0" applyNumberFormat="1" applyFont="1" applyFill="1" applyBorder="1"/>
    <xf numFmtId="165" fontId="6" fillId="0" borderId="5" xfId="1" applyNumberFormat="1" applyFont="1" applyBorder="1" applyAlignment="1"/>
    <xf numFmtId="43" fontId="1" fillId="0" borderId="5" xfId="0" applyNumberFormat="1" applyFont="1" applyBorder="1"/>
    <xf numFmtId="164" fontId="1" fillId="0" borderId="5" xfId="0" applyNumberFormat="1" applyFont="1" applyBorder="1"/>
    <xf numFmtId="43" fontId="3" fillId="6" borderId="5" xfId="0" applyNumberFormat="1" applyFont="1" applyFill="1" applyBorder="1"/>
    <xf numFmtId="165" fontId="0" fillId="7" borderId="5" xfId="1" applyNumberFormat="1" applyFont="1" applyFill="1" applyBorder="1" applyAlignment="1"/>
    <xf numFmtId="43" fontId="1" fillId="5" borderId="5" xfId="0" applyNumberFormat="1" applyFont="1" applyFill="1" applyBorder="1"/>
    <xf numFmtId="43" fontId="1" fillId="0" borderId="15" xfId="1" applyFont="1" applyFill="1" applyBorder="1" applyAlignment="1"/>
    <xf numFmtId="164" fontId="1" fillId="9" borderId="5" xfId="1" applyNumberFormat="1" applyFont="1" applyFill="1" applyBorder="1" applyAlignment="1"/>
    <xf numFmtId="164" fontId="0" fillId="0" borderId="7" xfId="1" applyNumberFormat="1" applyFont="1" applyBorder="1" applyAlignment="1"/>
    <xf numFmtId="164" fontId="1" fillId="0" borderId="7" xfId="0" applyNumberFormat="1" applyFont="1" applyBorder="1"/>
    <xf numFmtId="0" fontId="1" fillId="0" borderId="7" xfId="0" applyFont="1" applyBorder="1"/>
    <xf numFmtId="168" fontId="0" fillId="0" borderId="7" xfId="0" applyNumberFormat="1" applyBorder="1"/>
    <xf numFmtId="0" fontId="11" fillId="0" borderId="7" xfId="0" applyFont="1" applyBorder="1"/>
    <xf numFmtId="9" fontId="1" fillId="5" borderId="3" xfId="0" applyNumberFormat="1" applyFont="1" applyFill="1" applyBorder="1"/>
    <xf numFmtId="9" fontId="0" fillId="5" borderId="3" xfId="0" applyNumberFormat="1" applyFill="1" applyBorder="1"/>
    <xf numFmtId="43" fontId="0" fillId="5" borderId="5" xfId="1" applyFont="1" applyFill="1" applyBorder="1" applyAlignment="1"/>
    <xf numFmtId="43" fontId="1" fillId="0" borderId="3" xfId="1" applyFont="1" applyFill="1" applyBorder="1" applyAlignment="1"/>
    <xf numFmtId="9" fontId="1" fillId="0" borderId="3" xfId="3" applyFont="1" applyFill="1" applyBorder="1" applyAlignment="1"/>
    <xf numFmtId="43" fontId="6" fillId="0" borderId="3" xfId="1" applyFont="1" applyFill="1" applyBorder="1" applyAlignment="1"/>
    <xf numFmtId="43" fontId="1" fillId="0" borderId="5" xfId="1" applyFont="1" applyFill="1" applyBorder="1" applyAlignment="1"/>
    <xf numFmtId="9" fontId="0" fillId="2" borderId="3" xfId="0" applyNumberFormat="1" applyFill="1" applyBorder="1"/>
    <xf numFmtId="43" fontId="5" fillId="2" borderId="4" xfId="0" applyNumberFormat="1" applyFont="1" applyFill="1" applyBorder="1"/>
    <xf numFmtId="43" fontId="0" fillId="2" borderId="4" xfId="0" applyNumberFormat="1" applyFill="1" applyBorder="1"/>
    <xf numFmtId="43" fontId="0" fillId="2" borderId="12" xfId="0" applyNumberFormat="1" applyFill="1" applyBorder="1"/>
    <xf numFmtId="43" fontId="7" fillId="7" borderId="2" xfId="0" applyNumberFormat="1" applyFont="1" applyFill="1" applyBorder="1"/>
    <xf numFmtId="43" fontId="9" fillId="7" borderId="2" xfId="0" applyNumberFormat="1" applyFont="1" applyFill="1" applyBorder="1"/>
    <xf numFmtId="43" fontId="9" fillId="7" borderId="14" xfId="0" applyNumberFormat="1" applyFont="1" applyFill="1" applyBorder="1"/>
    <xf numFmtId="43" fontId="7" fillId="6" borderId="1" xfId="0" applyNumberFormat="1" applyFont="1" applyFill="1" applyBorder="1"/>
    <xf numFmtId="43" fontId="9" fillId="6" borderId="1" xfId="0" applyNumberFormat="1" applyFont="1" applyFill="1" applyBorder="1"/>
    <xf numFmtId="43" fontId="9" fillId="6" borderId="13" xfId="0" applyNumberFormat="1" applyFont="1" applyFill="1" applyBorder="1"/>
    <xf numFmtId="43" fontId="2" fillId="7" borderId="3" xfId="1" applyFont="1" applyFill="1" applyBorder="1" applyAlignment="1"/>
    <xf numFmtId="43" fontId="5" fillId="7" borderId="4" xfId="0" applyNumberFormat="1" applyFont="1" applyFill="1" applyBorder="1"/>
    <xf numFmtId="43" fontId="3" fillId="7" borderId="4" xfId="0" applyNumberFormat="1" applyFont="1" applyFill="1" applyBorder="1"/>
    <xf numFmtId="43" fontId="3" fillId="7" borderId="12" xfId="0" applyNumberFormat="1" applyFont="1" applyFill="1" applyBorder="1"/>
    <xf numFmtId="9" fontId="2" fillId="0" borderId="5" xfId="3" applyFont="1" applyBorder="1" applyAlignment="1"/>
    <xf numFmtId="9" fontId="0" fillId="6" borderId="5" xfId="3" applyFont="1" applyFill="1" applyBorder="1"/>
    <xf numFmtId="9" fontId="0" fillId="7" borderId="5" xfId="3" applyFont="1" applyFill="1" applyBorder="1"/>
    <xf numFmtId="9" fontId="1" fillId="0" borderId="5" xfId="3" applyFont="1" applyBorder="1"/>
    <xf numFmtId="0" fontId="1" fillId="0" borderId="3" xfId="0" applyFont="1" applyBorder="1" applyAlignment="1">
      <alignment horizontal="center"/>
    </xf>
    <xf numFmtId="0" fontId="1" fillId="0" borderId="11" xfId="0" applyFont="1" applyBorder="1" applyAlignment="1">
      <alignment horizontal="center"/>
    </xf>
    <xf numFmtId="164" fontId="1" fillId="0" borderId="3" xfId="1" applyNumberFormat="1" applyFont="1" applyBorder="1" applyAlignment="1">
      <alignment horizontal="center"/>
    </xf>
    <xf numFmtId="0" fontId="1" fillId="0" borderId="5" xfId="0" applyFont="1" applyBorder="1" applyAlignment="1">
      <alignment horizontal="center"/>
    </xf>
    <xf numFmtId="9" fontId="0" fillId="0" borderId="0" xfId="0" applyNumberFormat="1" applyBorder="1"/>
    <xf numFmtId="0" fontId="0" fillId="0" borderId="0" xfId="0" applyAlignment="1">
      <alignment horizontal="center"/>
    </xf>
    <xf numFmtId="0" fontId="15" fillId="13" borderId="16" xfId="0" applyFont="1" applyFill="1" applyBorder="1" applyAlignment="1">
      <alignment vertical="top" wrapText="1"/>
    </xf>
    <xf numFmtId="0" fontId="16" fillId="13" borderId="17" xfId="0" applyFont="1" applyFill="1" applyBorder="1" applyAlignment="1">
      <alignment horizontal="center" vertical="center" wrapText="1" readingOrder="1"/>
    </xf>
    <xf numFmtId="0" fontId="16" fillId="13" borderId="18" xfId="0" applyFont="1" applyFill="1" applyBorder="1" applyAlignment="1">
      <alignment horizontal="center" vertical="center" wrapText="1" readingOrder="1"/>
    </xf>
    <xf numFmtId="0" fontId="16" fillId="13" borderId="19" xfId="0" applyFont="1" applyFill="1" applyBorder="1" applyAlignment="1">
      <alignment horizontal="center" vertical="center" wrapText="1" readingOrder="1"/>
    </xf>
    <xf numFmtId="0" fontId="17" fillId="14" borderId="16" xfId="0" applyFont="1" applyFill="1" applyBorder="1" applyAlignment="1">
      <alignment vertical="top" wrapText="1"/>
    </xf>
    <xf numFmtId="0" fontId="18" fillId="14" borderId="16" xfId="0" applyFont="1" applyFill="1" applyBorder="1" applyAlignment="1">
      <alignment horizontal="center" vertical="center" wrapText="1" readingOrder="1"/>
    </xf>
    <xf numFmtId="0" fontId="19" fillId="15" borderId="16" xfId="0" applyFont="1" applyFill="1" applyBorder="1" applyAlignment="1">
      <alignment horizontal="left" vertical="center" wrapText="1" readingOrder="1"/>
    </xf>
    <xf numFmtId="0" fontId="19" fillId="15" borderId="16" xfId="0" applyFont="1" applyFill="1" applyBorder="1" applyAlignment="1">
      <alignment horizontal="right" vertical="center" wrapText="1" readingOrder="1"/>
    </xf>
    <xf numFmtId="0" fontId="19" fillId="14" borderId="16" xfId="0" applyFont="1" applyFill="1" applyBorder="1" applyAlignment="1">
      <alignment horizontal="left" vertical="center" wrapText="1" readingOrder="1"/>
    </xf>
    <xf numFmtId="0" fontId="19" fillId="14" borderId="16" xfId="0" applyFont="1" applyFill="1" applyBorder="1" applyAlignment="1">
      <alignment horizontal="right" vertical="center" wrapText="1" readingOrder="1"/>
    </xf>
    <xf numFmtId="0" fontId="18" fillId="15" borderId="16" xfId="0" applyFont="1" applyFill="1" applyBorder="1" applyAlignment="1">
      <alignment horizontal="left" vertical="center" wrapText="1" readingOrder="1"/>
    </xf>
    <xf numFmtId="0" fontId="18" fillId="15" borderId="16" xfId="0" applyFont="1" applyFill="1" applyBorder="1" applyAlignment="1">
      <alignment horizontal="right" vertical="center" wrapText="1" indent="1" readingOrder="1"/>
    </xf>
    <xf numFmtId="0" fontId="18" fillId="15" borderId="16" xfId="0" applyFont="1" applyFill="1" applyBorder="1" applyAlignment="1">
      <alignment horizontal="right" vertical="center" wrapText="1" readingOrder="1"/>
    </xf>
    <xf numFmtId="0" fontId="0" fillId="0" borderId="0" xfId="0">
      <extLst>
        <ext xmlns:xfpb="http://schemas.microsoft.com/office/spreadsheetml/2022/featurepropertybag" uri="{C7286773-470A-42A8-94C5-96B5CB345126}">
          <xfpb:xfComplement i="0"/>
        </ext>
      </extLst>
    </xf>
    <xf numFmtId="0" fontId="0" fillId="0" borderId="0" xfId="0" applyAlignment="1">
      <alignment horizontal="center" wrapText="1"/>
    </xf>
    <xf numFmtId="164" fontId="1" fillId="16" borderId="11" xfId="1" applyNumberFormat="1" applyFont="1" applyFill="1" applyBorder="1" applyAlignment="1">
      <alignment horizontal="center" wrapText="1"/>
    </xf>
    <xf numFmtId="0" fontId="11" fillId="0" borderId="5" xfId="0" applyFont="1" applyBorder="1"/>
    <xf numFmtId="0" fontId="1" fillId="16" borderId="0" xfId="0" applyFont="1" applyFill="1" applyAlignment="1">
      <alignment horizontal="center" wrapText="1"/>
    </xf>
    <xf numFmtId="0" fontId="0" fillId="17" borderId="3" xfId="0" applyFill="1" applyBorder="1"/>
    <xf numFmtId="0" fontId="0" fillId="4" borderId="0" xfId="0" applyFill="1"/>
    <xf numFmtId="164" fontId="0" fillId="4" borderId="0" xfId="1" applyNumberFormat="1" applyFont="1" applyFill="1" applyAlignment="1"/>
    <xf numFmtId="164" fontId="1" fillId="4" borderId="0" xfId="1" applyNumberFormat="1" applyFont="1" applyFill="1" applyBorder="1" applyAlignment="1"/>
    <xf numFmtId="164" fontId="1" fillId="0" borderId="5" xfId="1" applyNumberFormat="1" applyFont="1" applyBorder="1" applyAlignment="1">
      <alignment horizontal="center"/>
    </xf>
    <xf numFmtId="164" fontId="1" fillId="0" borderId="8" xfId="1" applyNumberFormat="1" applyFont="1" applyBorder="1" applyAlignment="1">
      <alignment horizontal="center"/>
    </xf>
    <xf numFmtId="164" fontId="1" fillId="0" borderId="7" xfId="1" applyNumberFormat="1" applyFont="1" applyBorder="1" applyAlignment="1">
      <alignment horizontal="center"/>
    </xf>
    <xf numFmtId="0" fontId="1" fillId="16" borderId="3" xfId="0" applyFont="1" applyFill="1" applyBorder="1" applyAlignment="1">
      <alignment horizontal="center"/>
    </xf>
    <xf numFmtId="0" fontId="0" fillId="17" borderId="5" xfId="0" applyFill="1" applyBorder="1"/>
    <xf numFmtId="0" fontId="0" fillId="6" borderId="3" xfId="0" applyFill="1" applyBorder="1">
      <extLst>
        <ext xmlns:xfpb="http://schemas.microsoft.com/office/spreadsheetml/2022/featurepropertybag" uri="{C7286773-470A-42A8-94C5-96B5CB345126}">
          <xfpb:xfComplement i="0"/>
        </ext>
      </extLst>
    </xf>
    <xf numFmtId="0" fontId="0" fillId="17" borderId="3" xfId="0" applyFill="1" applyBorder="1" applyAlignment="1">
      <alignment horizontal="center" vertical="center"/>
    </xf>
  </cellXfs>
  <cellStyles count="4">
    <cellStyle name="Comma" xfId="1" builtinId="3"/>
    <cellStyle name="Normal" xfId="0" builtinId="0"/>
    <cellStyle name="Normal 2" xfId="2" xr:uid="{06E02CF2-C51E-41E3-AA9C-E76B7243CC5E}"/>
    <cellStyle name="Percent" xfId="3" builtinId="5"/>
  </cellStyles>
  <dxfs count="8">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17</xdr:col>
      <xdr:colOff>327660</xdr:colOff>
      <xdr:row>1</xdr:row>
      <xdr:rowOff>38100</xdr:rowOff>
    </xdr:from>
    <xdr:to>
      <xdr:col>17</xdr:col>
      <xdr:colOff>350520</xdr:colOff>
      <xdr:row>8</xdr:row>
      <xdr:rowOff>144780</xdr:rowOff>
    </xdr:to>
    <xdr:cxnSp macro="">
      <xdr:nvCxnSpPr>
        <xdr:cNvPr id="3" name="Straight Arrow Connector 2">
          <a:extLst>
            <a:ext uri="{FF2B5EF4-FFF2-40B4-BE49-F238E27FC236}">
              <a16:creationId xmlns:a16="http://schemas.microsoft.com/office/drawing/2014/main" id="{CC7EE99D-7158-DEAF-DBB6-9F907F8DD5B4}"/>
            </a:ext>
          </a:extLst>
        </xdr:cNvPr>
        <xdr:cNvCxnSpPr/>
      </xdr:nvCxnSpPr>
      <xdr:spPr>
        <a:xfrm>
          <a:off x="21153120" y="632460"/>
          <a:ext cx="22860" cy="138684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F06F-E098-41F4-8E6B-9E69CA521C05}">
  <dimension ref="A1:N92"/>
  <sheetViews>
    <sheetView topLeftCell="A67" workbookViewId="0">
      <selection activeCell="M73" sqref="M73"/>
    </sheetView>
  </sheetViews>
  <sheetFormatPr defaultRowHeight="14.4" x14ac:dyDescent="0.3"/>
  <cols>
    <col min="1" max="2" width="9.109375" style="1"/>
    <col min="3" max="3" width="31.44140625" style="1" customWidth="1"/>
    <col min="4" max="4" width="16.5546875" style="1" customWidth="1"/>
    <col min="5" max="9" width="9.109375" style="1"/>
    <col min="10" max="10" width="15" style="1" customWidth="1"/>
    <col min="11" max="14" width="9.109375" style="1"/>
  </cols>
  <sheetData>
    <row r="1" spans="1:14" ht="52.8" x14ac:dyDescent="0.3">
      <c r="A1" s="100" t="s">
        <v>102</v>
      </c>
      <c r="B1" s="100" t="s">
        <v>103</v>
      </c>
      <c r="C1" s="101" t="s">
        <v>104</v>
      </c>
      <c r="D1" s="101" t="s">
        <v>0</v>
      </c>
      <c r="E1" s="101" t="s">
        <v>105</v>
      </c>
      <c r="F1" s="102" t="s">
        <v>106</v>
      </c>
      <c r="G1" s="102" t="s">
        <v>107</v>
      </c>
      <c r="H1" s="102" t="s">
        <v>108</v>
      </c>
      <c r="I1" s="103" t="s">
        <v>109</v>
      </c>
      <c r="J1" s="103" t="s">
        <v>110</v>
      </c>
      <c r="K1" s="102" t="s">
        <v>111</v>
      </c>
      <c r="L1" s="100" t="s">
        <v>112</v>
      </c>
      <c r="M1" s="100" t="s">
        <v>113</v>
      </c>
      <c r="N1" s="104" t="s">
        <v>114</v>
      </c>
    </row>
    <row r="2" spans="1:14" x14ac:dyDescent="0.3">
      <c r="A2" s="105">
        <v>1</v>
      </c>
      <c r="B2" s="106" t="s">
        <v>115</v>
      </c>
      <c r="C2" s="108" t="s">
        <v>116</v>
      </c>
      <c r="D2" s="108" t="s">
        <v>19</v>
      </c>
      <c r="E2" s="109"/>
      <c r="F2" s="110" t="str">
        <f t="shared" ref="F2:F30" ca="1" si="0">IF(E2="","",TODAY()-E2)</f>
        <v/>
      </c>
      <c r="G2" s="111">
        <v>1</v>
      </c>
      <c r="H2" s="111">
        <v>2</v>
      </c>
      <c r="I2" s="112">
        <v>0.4</v>
      </c>
      <c r="J2" s="112" t="s">
        <v>117</v>
      </c>
      <c r="K2" s="113" t="str">
        <f t="shared" ref="K2:K33" si="1">IF(J2="0-6 Months","HIGH",IF(J2="6-12 Months","MEDIUM",IF(J2="&gt;12 Months","LOW","")))</f>
        <v>HIGH</v>
      </c>
      <c r="L2" s="114" t="b">
        <v>1</v>
      </c>
      <c r="M2" s="114" t="b">
        <v>1</v>
      </c>
      <c r="N2" s="115" t="s">
        <v>118</v>
      </c>
    </row>
    <row r="3" spans="1:14" x14ac:dyDescent="0.3">
      <c r="A3" s="105">
        <v>2</v>
      </c>
      <c r="B3" s="106" t="s">
        <v>115</v>
      </c>
      <c r="C3" s="108" t="s">
        <v>119</v>
      </c>
      <c r="D3" s="108" t="s">
        <v>16</v>
      </c>
      <c r="E3" s="109"/>
      <c r="F3" s="110" t="str">
        <f t="shared" ca="1" si="0"/>
        <v/>
      </c>
      <c r="G3" s="111">
        <v>2.25</v>
      </c>
      <c r="H3" s="111">
        <v>2</v>
      </c>
      <c r="I3" s="112">
        <v>0.6</v>
      </c>
      <c r="J3" s="112" t="s">
        <v>117</v>
      </c>
      <c r="K3" s="113" t="str">
        <f t="shared" si="1"/>
        <v>HIGH</v>
      </c>
      <c r="L3" s="114" t="b">
        <v>1</v>
      </c>
      <c r="M3" s="114" t="b">
        <v>0</v>
      </c>
      <c r="N3" s="115" t="s">
        <v>120</v>
      </c>
    </row>
    <row r="4" spans="1:14" x14ac:dyDescent="0.3">
      <c r="A4" s="105">
        <v>3</v>
      </c>
      <c r="B4" s="106" t="s">
        <v>115</v>
      </c>
      <c r="C4" s="108" t="s">
        <v>121</v>
      </c>
      <c r="D4" s="108" t="s">
        <v>30</v>
      </c>
      <c r="E4" s="109"/>
      <c r="F4" s="110" t="str">
        <f t="shared" ca="1" si="0"/>
        <v/>
      </c>
      <c r="G4" s="111">
        <v>1</v>
      </c>
      <c r="H4" s="111">
        <v>3</v>
      </c>
      <c r="I4" s="112">
        <v>0.65</v>
      </c>
      <c r="J4" s="112" t="s">
        <v>117</v>
      </c>
      <c r="K4" s="113" t="str">
        <f t="shared" si="1"/>
        <v>HIGH</v>
      </c>
      <c r="L4" s="114" t="b">
        <v>0</v>
      </c>
      <c r="M4" s="114" t="b">
        <v>1</v>
      </c>
      <c r="N4" s="115" t="s">
        <v>81</v>
      </c>
    </row>
    <row r="5" spans="1:14" x14ac:dyDescent="0.3">
      <c r="A5" s="105">
        <v>4</v>
      </c>
      <c r="B5" s="106" t="s">
        <v>115</v>
      </c>
      <c r="C5" s="108" t="s">
        <v>122</v>
      </c>
      <c r="D5" s="108" t="s">
        <v>24</v>
      </c>
      <c r="E5" s="109"/>
      <c r="F5" s="110" t="str">
        <f t="shared" ca="1" si="0"/>
        <v/>
      </c>
      <c r="G5" s="111">
        <v>2.25</v>
      </c>
      <c r="H5" s="111">
        <v>2</v>
      </c>
      <c r="I5" s="112">
        <v>0.2</v>
      </c>
      <c r="J5" s="112" t="s">
        <v>117</v>
      </c>
      <c r="K5" s="113" t="str">
        <f t="shared" si="1"/>
        <v>HIGH</v>
      </c>
      <c r="L5" s="114" t="b">
        <v>1</v>
      </c>
      <c r="M5" s="114" t="b">
        <v>1</v>
      </c>
      <c r="N5" s="115" t="s">
        <v>123</v>
      </c>
    </row>
    <row r="6" spans="1:14" x14ac:dyDescent="0.3">
      <c r="A6" s="105">
        <v>5</v>
      </c>
      <c r="B6" s="106" t="s">
        <v>115</v>
      </c>
      <c r="C6" s="108" t="s">
        <v>124</v>
      </c>
      <c r="D6" s="108" t="s">
        <v>125</v>
      </c>
      <c r="E6" s="109"/>
      <c r="F6" s="110" t="str">
        <f t="shared" ca="1" si="0"/>
        <v/>
      </c>
      <c r="G6" s="111">
        <v>2</v>
      </c>
      <c r="H6" s="111">
        <v>6</v>
      </c>
      <c r="I6" s="112">
        <v>0.8</v>
      </c>
      <c r="J6" s="112" t="s">
        <v>117</v>
      </c>
      <c r="K6" s="113" t="str">
        <f t="shared" si="1"/>
        <v>HIGH</v>
      </c>
      <c r="L6" s="114" t="b">
        <v>1</v>
      </c>
      <c r="M6" s="114" t="b">
        <v>1</v>
      </c>
      <c r="N6" s="115" t="s">
        <v>126</v>
      </c>
    </row>
    <row r="7" spans="1:14" x14ac:dyDescent="0.3">
      <c r="A7" s="105">
        <v>6</v>
      </c>
      <c r="B7" s="106" t="s">
        <v>127</v>
      </c>
      <c r="C7" s="108" t="s">
        <v>128</v>
      </c>
      <c r="D7" s="108" t="s">
        <v>42</v>
      </c>
      <c r="E7" s="109"/>
      <c r="F7" s="110" t="str">
        <f t="shared" ca="1" si="0"/>
        <v/>
      </c>
      <c r="G7" s="111">
        <v>2</v>
      </c>
      <c r="H7" s="111">
        <v>6</v>
      </c>
      <c r="I7" s="112">
        <v>0.8</v>
      </c>
      <c r="J7" s="112" t="s">
        <v>117</v>
      </c>
      <c r="K7" s="113" t="str">
        <f t="shared" si="1"/>
        <v>HIGH</v>
      </c>
      <c r="L7" s="114" t="b">
        <v>1</v>
      </c>
      <c r="M7" s="114" t="b">
        <v>1</v>
      </c>
      <c r="N7" s="115" t="s">
        <v>129</v>
      </c>
    </row>
    <row r="8" spans="1:14" x14ac:dyDescent="0.3">
      <c r="A8" s="105">
        <v>7</v>
      </c>
      <c r="B8" s="106" t="s">
        <v>130</v>
      </c>
      <c r="C8" s="108" t="s">
        <v>70</v>
      </c>
      <c r="D8" s="108" t="s">
        <v>16</v>
      </c>
      <c r="E8" s="109"/>
      <c r="F8" s="110" t="str">
        <f t="shared" ca="1" si="0"/>
        <v/>
      </c>
      <c r="G8" s="111">
        <v>2.25</v>
      </c>
      <c r="H8" s="111">
        <v>2.5</v>
      </c>
      <c r="I8" s="112">
        <v>0.5</v>
      </c>
      <c r="J8" s="112" t="s">
        <v>117</v>
      </c>
      <c r="K8" s="113" t="str">
        <f t="shared" si="1"/>
        <v>HIGH</v>
      </c>
      <c r="L8" s="114" t="b">
        <v>1</v>
      </c>
      <c r="M8" s="114" t="b">
        <v>1</v>
      </c>
      <c r="N8" s="115" t="s">
        <v>131</v>
      </c>
    </row>
    <row r="9" spans="1:14" x14ac:dyDescent="0.3">
      <c r="A9" s="105">
        <v>8</v>
      </c>
      <c r="B9" s="106" t="s">
        <v>130</v>
      </c>
      <c r="C9" s="108" t="s">
        <v>72</v>
      </c>
      <c r="D9" s="108" t="s">
        <v>43</v>
      </c>
      <c r="E9" s="109"/>
      <c r="F9" s="110" t="str">
        <f t="shared" ca="1" si="0"/>
        <v/>
      </c>
      <c r="G9" s="111">
        <v>2.25</v>
      </c>
      <c r="H9" s="111">
        <v>2.5</v>
      </c>
      <c r="I9" s="112">
        <v>0.3</v>
      </c>
      <c r="J9" s="112" t="s">
        <v>117</v>
      </c>
      <c r="K9" s="113" t="str">
        <f t="shared" si="1"/>
        <v>HIGH</v>
      </c>
      <c r="L9" s="114" t="b">
        <v>1</v>
      </c>
      <c r="M9" s="114" t="b">
        <v>0</v>
      </c>
      <c r="N9" s="115" t="s">
        <v>132</v>
      </c>
    </row>
    <row r="10" spans="1:14" x14ac:dyDescent="0.3">
      <c r="A10" s="123">
        <v>9</v>
      </c>
      <c r="B10" s="106" t="s">
        <v>115</v>
      </c>
      <c r="C10" s="108" t="s">
        <v>94</v>
      </c>
      <c r="D10" s="108" t="s">
        <v>31</v>
      </c>
      <c r="E10" s="118"/>
      <c r="F10" s="119" t="str">
        <f t="shared" ca="1" si="0"/>
        <v/>
      </c>
      <c r="G10" s="111">
        <v>8</v>
      </c>
      <c r="H10" s="111">
        <v>6</v>
      </c>
      <c r="I10" s="112">
        <v>0.5</v>
      </c>
      <c r="J10" s="120" t="s">
        <v>117</v>
      </c>
      <c r="K10" s="121" t="str">
        <f t="shared" si="1"/>
        <v>HIGH</v>
      </c>
      <c r="L10" s="114" t="b">
        <v>1</v>
      </c>
      <c r="M10" s="114" t="b">
        <v>0</v>
      </c>
      <c r="N10" s="122" t="s">
        <v>133</v>
      </c>
    </row>
    <row r="11" spans="1:14" x14ac:dyDescent="0.3">
      <c r="A11" s="123">
        <v>10</v>
      </c>
      <c r="B11" s="106" t="s">
        <v>115</v>
      </c>
      <c r="C11" s="108" t="s">
        <v>134</v>
      </c>
      <c r="D11" s="108" t="s">
        <v>31</v>
      </c>
      <c r="E11" s="118"/>
      <c r="F11" s="119" t="str">
        <f t="shared" ca="1" si="0"/>
        <v/>
      </c>
      <c r="G11" s="111">
        <v>4</v>
      </c>
      <c r="H11" s="111">
        <v>5</v>
      </c>
      <c r="I11" s="112">
        <v>0.4</v>
      </c>
      <c r="J11" s="120" t="s">
        <v>117</v>
      </c>
      <c r="K11" s="121" t="str">
        <f t="shared" si="1"/>
        <v>HIGH</v>
      </c>
      <c r="L11" s="114" t="b">
        <v>1</v>
      </c>
      <c r="M11" s="114" t="b">
        <v>1</v>
      </c>
      <c r="N11" s="122" t="s">
        <v>96</v>
      </c>
    </row>
    <row r="12" spans="1:14" x14ac:dyDescent="0.3">
      <c r="A12" s="123">
        <v>11</v>
      </c>
      <c r="B12" s="106" t="s">
        <v>115</v>
      </c>
      <c r="C12" s="108" t="s">
        <v>135</v>
      </c>
      <c r="D12" s="124" t="s">
        <v>6</v>
      </c>
      <c r="E12" s="118"/>
      <c r="F12" s="119" t="str">
        <f t="shared" ca="1" si="0"/>
        <v/>
      </c>
      <c r="G12" s="111">
        <v>6.75</v>
      </c>
      <c r="H12" s="111">
        <v>4</v>
      </c>
      <c r="I12" s="112">
        <v>0.4</v>
      </c>
      <c r="J12" s="120" t="s">
        <v>117</v>
      </c>
      <c r="K12" s="121" t="str">
        <f t="shared" si="1"/>
        <v>HIGH</v>
      </c>
      <c r="L12" s="114" t="b">
        <v>0</v>
      </c>
      <c r="M12" s="114" t="b">
        <v>0</v>
      </c>
      <c r="N12" s="122" t="s">
        <v>136</v>
      </c>
    </row>
    <row r="13" spans="1:14" x14ac:dyDescent="0.3">
      <c r="A13" s="123">
        <v>12</v>
      </c>
      <c r="B13" s="106" t="s">
        <v>137</v>
      </c>
      <c r="C13" s="108" t="s">
        <v>138</v>
      </c>
      <c r="D13" s="124" t="s">
        <v>24</v>
      </c>
      <c r="E13" s="118"/>
      <c r="F13" s="119" t="str">
        <f t="shared" ca="1" si="0"/>
        <v/>
      </c>
      <c r="G13" s="111">
        <v>2.25</v>
      </c>
      <c r="H13" s="111">
        <v>2</v>
      </c>
      <c r="I13" s="112">
        <v>0.6</v>
      </c>
      <c r="J13" s="120" t="s">
        <v>117</v>
      </c>
      <c r="K13" s="121" t="str">
        <f t="shared" si="1"/>
        <v>HIGH</v>
      </c>
      <c r="L13" s="114" t="b">
        <v>1</v>
      </c>
      <c r="M13" s="114" t="b">
        <v>1</v>
      </c>
      <c r="N13" s="122" t="s">
        <v>139</v>
      </c>
    </row>
    <row r="14" spans="1:14" x14ac:dyDescent="0.3">
      <c r="A14" s="123">
        <v>13</v>
      </c>
      <c r="B14" s="106" t="s">
        <v>115</v>
      </c>
      <c r="C14" s="108" t="s">
        <v>140</v>
      </c>
      <c r="D14" s="124" t="s">
        <v>141</v>
      </c>
      <c r="E14" s="118"/>
      <c r="F14" s="119" t="str">
        <f t="shared" ca="1" si="0"/>
        <v/>
      </c>
      <c r="G14" s="111">
        <v>6.75</v>
      </c>
      <c r="H14" s="111">
        <v>4</v>
      </c>
      <c r="I14" s="112">
        <v>0.4</v>
      </c>
      <c r="J14" s="120" t="s">
        <v>117</v>
      </c>
      <c r="K14" s="121" t="str">
        <f t="shared" si="1"/>
        <v>HIGH</v>
      </c>
      <c r="L14" s="114" t="b">
        <v>1</v>
      </c>
      <c r="M14" s="114" t="b">
        <v>1</v>
      </c>
      <c r="N14" s="122" t="s">
        <v>142</v>
      </c>
    </row>
    <row r="15" spans="1:14" x14ac:dyDescent="0.3">
      <c r="A15" s="123">
        <v>14</v>
      </c>
      <c r="B15" s="106" t="s">
        <v>115</v>
      </c>
      <c r="C15" s="108" t="s">
        <v>99</v>
      </c>
      <c r="D15" s="108" t="s">
        <v>28</v>
      </c>
      <c r="E15" s="118"/>
      <c r="F15" s="119" t="str">
        <f t="shared" ca="1" si="0"/>
        <v/>
      </c>
      <c r="G15" s="111">
        <v>2.25</v>
      </c>
      <c r="H15" s="111">
        <v>2</v>
      </c>
      <c r="I15" s="112">
        <v>0.6</v>
      </c>
      <c r="J15" s="120" t="s">
        <v>117</v>
      </c>
      <c r="K15" s="121" t="str">
        <f t="shared" si="1"/>
        <v>HIGH</v>
      </c>
      <c r="L15" s="114" t="b">
        <v>1</v>
      </c>
      <c r="M15" s="114" t="b">
        <v>0</v>
      </c>
      <c r="N15" s="122" t="s">
        <v>143</v>
      </c>
    </row>
    <row r="16" spans="1:14" x14ac:dyDescent="0.3">
      <c r="A16" s="105">
        <v>15</v>
      </c>
      <c r="B16" s="106" t="s">
        <v>115</v>
      </c>
      <c r="C16" s="117" t="s">
        <v>144</v>
      </c>
      <c r="D16" s="108" t="s">
        <v>12</v>
      </c>
      <c r="E16" s="109"/>
      <c r="F16" s="110" t="str">
        <f t="shared" ca="1" si="0"/>
        <v/>
      </c>
      <c r="G16" s="116">
        <v>2.25</v>
      </c>
      <c r="H16" s="111">
        <v>2</v>
      </c>
      <c r="I16" s="112">
        <v>0.4</v>
      </c>
      <c r="J16" s="112" t="s">
        <v>145</v>
      </c>
      <c r="K16" s="113" t="str">
        <f t="shared" si="1"/>
        <v>MEDIUM</v>
      </c>
      <c r="L16" s="114" t="b">
        <v>0</v>
      </c>
      <c r="M16" s="114" t="b">
        <v>1</v>
      </c>
      <c r="N16" s="115" t="s">
        <v>146</v>
      </c>
    </row>
    <row r="17" spans="1:14" x14ac:dyDescent="0.3">
      <c r="A17" s="105">
        <v>16</v>
      </c>
      <c r="B17" s="106" t="s">
        <v>115</v>
      </c>
      <c r="C17" s="108" t="s">
        <v>147</v>
      </c>
      <c r="D17" s="108" t="s">
        <v>2</v>
      </c>
      <c r="E17" s="109"/>
      <c r="F17" s="110" t="str">
        <f t="shared" ca="1" si="0"/>
        <v/>
      </c>
      <c r="G17" s="111">
        <v>2.25</v>
      </c>
      <c r="H17" s="111">
        <v>2.2000000000000002</v>
      </c>
      <c r="I17" s="112">
        <v>0.2</v>
      </c>
      <c r="J17" s="112" t="s">
        <v>145</v>
      </c>
      <c r="K17" s="113" t="str">
        <f t="shared" si="1"/>
        <v>MEDIUM</v>
      </c>
      <c r="L17" s="114" t="b">
        <v>1</v>
      </c>
      <c r="M17" s="114" t="b">
        <v>0</v>
      </c>
      <c r="N17" s="115" t="s">
        <v>4</v>
      </c>
    </row>
    <row r="18" spans="1:14" x14ac:dyDescent="0.3">
      <c r="A18" s="105">
        <v>17</v>
      </c>
      <c r="B18" s="106" t="s">
        <v>115</v>
      </c>
      <c r="C18" s="108" t="s">
        <v>148</v>
      </c>
      <c r="D18" s="108" t="s">
        <v>149</v>
      </c>
      <c r="E18" s="109"/>
      <c r="F18" s="110" t="str">
        <f t="shared" ca="1" si="0"/>
        <v/>
      </c>
      <c r="G18" s="111">
        <v>15</v>
      </c>
      <c r="H18" s="111">
        <v>15</v>
      </c>
      <c r="I18" s="112">
        <v>0.4</v>
      </c>
      <c r="J18" s="112" t="s">
        <v>145</v>
      </c>
      <c r="K18" s="113" t="str">
        <f t="shared" si="1"/>
        <v>MEDIUM</v>
      </c>
      <c r="L18" s="114" t="b">
        <v>1</v>
      </c>
      <c r="M18" s="114" t="b">
        <v>0</v>
      </c>
      <c r="N18" s="115" t="s">
        <v>150</v>
      </c>
    </row>
    <row r="19" spans="1:14" x14ac:dyDescent="0.3">
      <c r="A19" s="105">
        <v>18</v>
      </c>
      <c r="B19" s="106" t="s">
        <v>115</v>
      </c>
      <c r="C19" s="108" t="s">
        <v>151</v>
      </c>
      <c r="D19" s="108" t="s">
        <v>149</v>
      </c>
      <c r="E19" s="109"/>
      <c r="F19" s="110" t="str">
        <f t="shared" ca="1" si="0"/>
        <v/>
      </c>
      <c r="G19" s="111">
        <v>15</v>
      </c>
      <c r="H19" s="111">
        <v>15</v>
      </c>
      <c r="I19" s="112">
        <v>0.4</v>
      </c>
      <c r="J19" s="112" t="s">
        <v>145</v>
      </c>
      <c r="K19" s="113" t="str">
        <f t="shared" si="1"/>
        <v>MEDIUM</v>
      </c>
      <c r="L19" s="114" t="b">
        <v>1</v>
      </c>
      <c r="M19" s="114" t="b">
        <v>0</v>
      </c>
      <c r="N19" s="115" t="s">
        <v>152</v>
      </c>
    </row>
    <row r="20" spans="1:14" x14ac:dyDescent="0.3">
      <c r="A20" s="105">
        <v>19</v>
      </c>
      <c r="B20" s="106" t="s">
        <v>115</v>
      </c>
      <c r="C20" s="108" t="s">
        <v>66</v>
      </c>
      <c r="D20" s="108" t="s">
        <v>65</v>
      </c>
      <c r="E20" s="109"/>
      <c r="F20" s="110" t="str">
        <f t="shared" ca="1" si="0"/>
        <v/>
      </c>
      <c r="G20" s="111">
        <v>2.25</v>
      </c>
      <c r="H20" s="111">
        <v>3</v>
      </c>
      <c r="I20" s="112">
        <v>0.4</v>
      </c>
      <c r="J20" s="112" t="s">
        <v>145</v>
      </c>
      <c r="K20" s="113" t="str">
        <f t="shared" si="1"/>
        <v>MEDIUM</v>
      </c>
      <c r="L20" s="114" t="b">
        <v>1</v>
      </c>
      <c r="M20" s="114" t="b">
        <v>0</v>
      </c>
      <c r="N20" s="115" t="s">
        <v>153</v>
      </c>
    </row>
    <row r="21" spans="1:14" x14ac:dyDescent="0.3">
      <c r="A21" s="105">
        <v>20</v>
      </c>
      <c r="B21" s="106" t="s">
        <v>115</v>
      </c>
      <c r="C21" s="108" t="s">
        <v>154</v>
      </c>
      <c r="D21" s="108" t="s">
        <v>2</v>
      </c>
      <c r="E21" s="109"/>
      <c r="F21" s="110" t="str">
        <f t="shared" ca="1" si="0"/>
        <v/>
      </c>
      <c r="G21" s="111">
        <v>2.25</v>
      </c>
      <c r="H21" s="111">
        <v>3</v>
      </c>
      <c r="I21" s="112">
        <v>0.4</v>
      </c>
      <c r="J21" s="112" t="s">
        <v>145</v>
      </c>
      <c r="K21" s="113" t="str">
        <f t="shared" si="1"/>
        <v>MEDIUM</v>
      </c>
      <c r="L21" s="114" t="b">
        <v>1</v>
      </c>
      <c r="M21" s="114" t="b">
        <v>0</v>
      </c>
      <c r="N21" s="115" t="s">
        <v>11</v>
      </c>
    </row>
    <row r="22" spans="1:14" x14ac:dyDescent="0.3">
      <c r="A22" s="105">
        <v>21</v>
      </c>
      <c r="B22" s="106" t="s">
        <v>115</v>
      </c>
      <c r="C22" s="108" t="s">
        <v>155</v>
      </c>
      <c r="D22" s="108" t="s">
        <v>141</v>
      </c>
      <c r="E22" s="109"/>
      <c r="F22" s="110" t="str">
        <f t="shared" ca="1" si="0"/>
        <v/>
      </c>
      <c r="G22" s="111">
        <v>10</v>
      </c>
      <c r="H22" s="111">
        <v>10</v>
      </c>
      <c r="I22" s="112">
        <v>0.5</v>
      </c>
      <c r="J22" s="112" t="s">
        <v>145</v>
      </c>
      <c r="K22" s="113" t="str">
        <f t="shared" si="1"/>
        <v>MEDIUM</v>
      </c>
      <c r="L22" s="114" t="b">
        <v>1</v>
      </c>
      <c r="M22" s="114" t="b">
        <v>1</v>
      </c>
      <c r="N22" s="115" t="s">
        <v>156</v>
      </c>
    </row>
    <row r="23" spans="1:14" x14ac:dyDescent="0.3">
      <c r="A23" s="105">
        <v>22</v>
      </c>
      <c r="B23" s="106" t="s">
        <v>115</v>
      </c>
      <c r="C23" s="108" t="s">
        <v>157</v>
      </c>
      <c r="D23" s="108" t="s">
        <v>36</v>
      </c>
      <c r="E23" s="109"/>
      <c r="F23" s="110" t="str">
        <f t="shared" ca="1" si="0"/>
        <v/>
      </c>
      <c r="G23" s="111">
        <v>2.25</v>
      </c>
      <c r="H23" s="111">
        <v>2</v>
      </c>
      <c r="I23" s="112">
        <v>0.6</v>
      </c>
      <c r="J23" s="112" t="s">
        <v>145</v>
      </c>
      <c r="K23" s="113" t="str">
        <f t="shared" si="1"/>
        <v>MEDIUM</v>
      </c>
      <c r="L23" s="114" t="b">
        <v>1</v>
      </c>
      <c r="M23" s="114" t="b">
        <v>1</v>
      </c>
      <c r="N23" s="115" t="s">
        <v>158</v>
      </c>
    </row>
    <row r="24" spans="1:14" x14ac:dyDescent="0.3">
      <c r="A24" s="105">
        <v>23</v>
      </c>
      <c r="B24" s="106" t="s">
        <v>130</v>
      </c>
      <c r="C24" s="108" t="s">
        <v>159</v>
      </c>
      <c r="D24" s="108" t="s">
        <v>125</v>
      </c>
      <c r="E24" s="109"/>
      <c r="F24" s="110" t="str">
        <f t="shared" ca="1" si="0"/>
        <v/>
      </c>
      <c r="G24" s="111">
        <v>1</v>
      </c>
      <c r="H24" s="111">
        <v>4</v>
      </c>
      <c r="I24" s="112">
        <v>0.1</v>
      </c>
      <c r="J24" s="112" t="s">
        <v>145</v>
      </c>
      <c r="K24" s="113" t="str">
        <f t="shared" si="1"/>
        <v>MEDIUM</v>
      </c>
      <c r="L24" s="114" t="b">
        <v>1</v>
      </c>
      <c r="M24" s="114" t="b">
        <v>1</v>
      </c>
      <c r="N24" s="115" t="s">
        <v>160</v>
      </c>
    </row>
    <row r="25" spans="1:14" x14ac:dyDescent="0.3">
      <c r="A25" s="105">
        <v>24</v>
      </c>
      <c r="B25" s="106" t="s">
        <v>137</v>
      </c>
      <c r="C25" s="108" t="s">
        <v>161</v>
      </c>
      <c r="D25" s="108" t="s">
        <v>2</v>
      </c>
      <c r="E25" s="109"/>
      <c r="F25" s="110" t="str">
        <f t="shared" ca="1" si="0"/>
        <v/>
      </c>
      <c r="G25" s="111">
        <v>12.25</v>
      </c>
      <c r="H25" s="111">
        <v>10</v>
      </c>
      <c r="I25" s="112">
        <v>0.5</v>
      </c>
      <c r="J25" s="112" t="s">
        <v>145</v>
      </c>
      <c r="K25" s="113" t="str">
        <f t="shared" si="1"/>
        <v>MEDIUM</v>
      </c>
      <c r="L25" s="114" t="b">
        <v>1</v>
      </c>
      <c r="M25" s="114" t="b">
        <v>0</v>
      </c>
      <c r="N25" s="115" t="s">
        <v>162</v>
      </c>
    </row>
    <row r="26" spans="1:14" x14ac:dyDescent="0.3">
      <c r="A26" s="105">
        <v>25</v>
      </c>
      <c r="B26" s="106" t="s">
        <v>137</v>
      </c>
      <c r="C26" s="108" t="s">
        <v>49</v>
      </c>
      <c r="D26" s="108" t="s">
        <v>149</v>
      </c>
      <c r="E26" s="109"/>
      <c r="F26" s="110" t="str">
        <f t="shared" ca="1" si="0"/>
        <v/>
      </c>
      <c r="G26" s="111">
        <v>11.75</v>
      </c>
      <c r="H26" s="111">
        <v>8</v>
      </c>
      <c r="I26" s="112">
        <v>0.3</v>
      </c>
      <c r="J26" s="112" t="s">
        <v>145</v>
      </c>
      <c r="K26" s="113" t="str">
        <f t="shared" si="1"/>
        <v>MEDIUM</v>
      </c>
      <c r="L26" s="114" t="b">
        <v>0</v>
      </c>
      <c r="M26" s="114" t="b">
        <v>0</v>
      </c>
      <c r="N26" s="115" t="s">
        <v>163</v>
      </c>
    </row>
    <row r="27" spans="1:14" x14ac:dyDescent="0.3">
      <c r="A27" s="105">
        <v>26</v>
      </c>
      <c r="B27" s="106" t="s">
        <v>127</v>
      </c>
      <c r="C27" s="108" t="s">
        <v>164</v>
      </c>
      <c r="D27" s="108" t="s">
        <v>39</v>
      </c>
      <c r="E27" s="118"/>
      <c r="F27" s="119" t="str">
        <f t="shared" ca="1" si="0"/>
        <v/>
      </c>
      <c r="G27" s="111">
        <v>6.75</v>
      </c>
      <c r="H27" s="111">
        <v>8</v>
      </c>
      <c r="I27" s="112">
        <v>0.4</v>
      </c>
      <c r="J27" s="120" t="s">
        <v>145</v>
      </c>
      <c r="K27" s="121" t="str">
        <f t="shared" si="1"/>
        <v>MEDIUM</v>
      </c>
      <c r="L27" s="114" t="b">
        <v>1</v>
      </c>
      <c r="M27" s="114" t="b">
        <v>0</v>
      </c>
      <c r="N27" s="122" t="s">
        <v>165</v>
      </c>
    </row>
    <row r="28" spans="1:14" x14ac:dyDescent="0.3">
      <c r="A28" s="123">
        <v>27</v>
      </c>
      <c r="B28" s="106" t="s">
        <v>127</v>
      </c>
      <c r="C28" s="108" t="s">
        <v>166</v>
      </c>
      <c r="D28" s="108" t="s">
        <v>29</v>
      </c>
      <c r="E28" s="118"/>
      <c r="F28" s="119" t="str">
        <f t="shared" ca="1" si="0"/>
        <v/>
      </c>
      <c r="G28" s="111">
        <v>2.25</v>
      </c>
      <c r="H28" s="111">
        <v>2</v>
      </c>
      <c r="I28" s="112">
        <v>0.5</v>
      </c>
      <c r="J28" s="120" t="s">
        <v>145</v>
      </c>
      <c r="K28" s="121" t="str">
        <f t="shared" si="1"/>
        <v>MEDIUM</v>
      </c>
      <c r="L28" s="114" t="b">
        <v>1</v>
      </c>
      <c r="M28" s="114" t="b">
        <v>1</v>
      </c>
      <c r="N28" s="65" t="s">
        <v>86</v>
      </c>
    </row>
    <row r="29" spans="1:14" x14ac:dyDescent="0.3">
      <c r="A29" s="123">
        <v>28</v>
      </c>
      <c r="B29" s="106" t="s">
        <v>127</v>
      </c>
      <c r="C29" s="108" t="s">
        <v>167</v>
      </c>
      <c r="D29" s="108" t="s">
        <v>34</v>
      </c>
      <c r="E29" s="118"/>
      <c r="F29" s="119" t="str">
        <f t="shared" ca="1" si="0"/>
        <v/>
      </c>
      <c r="G29" s="111">
        <v>2.25</v>
      </c>
      <c r="H29" s="111">
        <v>3</v>
      </c>
      <c r="I29" s="112">
        <v>0.5</v>
      </c>
      <c r="J29" s="120" t="s">
        <v>145</v>
      </c>
      <c r="K29" s="121" t="str">
        <f t="shared" si="1"/>
        <v>MEDIUM</v>
      </c>
      <c r="L29" s="114" t="b">
        <v>1</v>
      </c>
      <c r="M29" s="114" t="b">
        <v>1</v>
      </c>
      <c r="N29" s="122" t="s">
        <v>87</v>
      </c>
    </row>
    <row r="30" spans="1:14" x14ac:dyDescent="0.3">
      <c r="A30" s="123">
        <v>29</v>
      </c>
      <c r="B30" s="106" t="s">
        <v>115</v>
      </c>
      <c r="C30" s="108" t="s">
        <v>168</v>
      </c>
      <c r="D30" s="124" t="s">
        <v>65</v>
      </c>
      <c r="E30" s="118"/>
      <c r="F30" s="119" t="str">
        <f t="shared" ca="1" si="0"/>
        <v/>
      </c>
      <c r="G30" s="111">
        <v>2.25</v>
      </c>
      <c r="H30" s="111">
        <v>3</v>
      </c>
      <c r="I30" s="112">
        <v>0.4</v>
      </c>
      <c r="J30" s="112" t="s">
        <v>145</v>
      </c>
      <c r="K30" s="113" t="str">
        <f t="shared" si="1"/>
        <v>MEDIUM</v>
      </c>
      <c r="L30" s="114" t="b">
        <v>0</v>
      </c>
      <c r="M30" s="114" t="b">
        <v>0</v>
      </c>
      <c r="N30" s="122" t="s">
        <v>169</v>
      </c>
    </row>
    <row r="31" spans="1:14" x14ac:dyDescent="0.3">
      <c r="A31" s="123">
        <v>30</v>
      </c>
      <c r="B31" s="106" t="s">
        <v>115</v>
      </c>
      <c r="C31" s="108" t="s">
        <v>170</v>
      </c>
      <c r="D31" s="124" t="s">
        <v>21</v>
      </c>
      <c r="E31" s="118"/>
      <c r="F31" s="119"/>
      <c r="G31" s="111">
        <v>4</v>
      </c>
      <c r="H31" s="111">
        <v>5</v>
      </c>
      <c r="I31" s="112">
        <v>0.5</v>
      </c>
      <c r="J31" s="112" t="s">
        <v>145</v>
      </c>
      <c r="K31" s="113" t="str">
        <f t="shared" si="1"/>
        <v>MEDIUM</v>
      </c>
      <c r="L31" s="114" t="b">
        <v>0</v>
      </c>
      <c r="M31" s="114" t="b">
        <v>0</v>
      </c>
      <c r="N31" s="122" t="s">
        <v>171</v>
      </c>
    </row>
    <row r="32" spans="1:14" x14ac:dyDescent="0.3">
      <c r="A32" s="105">
        <v>31</v>
      </c>
      <c r="B32" s="106" t="s">
        <v>130</v>
      </c>
      <c r="C32" s="107" t="s">
        <v>172</v>
      </c>
      <c r="D32" s="108" t="s">
        <v>14</v>
      </c>
      <c r="E32" s="109"/>
      <c r="F32" s="110" t="str">
        <f t="shared" ref="F32:F69" ca="1" si="2">IF(E32="","",TODAY()-E32)</f>
        <v/>
      </c>
      <c r="G32" s="111">
        <v>2.25</v>
      </c>
      <c r="H32" s="111">
        <v>2.5</v>
      </c>
      <c r="I32" s="112">
        <v>0.2</v>
      </c>
      <c r="J32" s="112" t="s">
        <v>173</v>
      </c>
      <c r="K32" s="113" t="str">
        <f t="shared" si="1"/>
        <v>LOW</v>
      </c>
      <c r="L32" s="114" t="b">
        <v>1</v>
      </c>
      <c r="M32" s="114" t="b">
        <v>1</v>
      </c>
      <c r="N32" s="115" t="s">
        <v>75</v>
      </c>
    </row>
    <row r="33" spans="1:14" x14ac:dyDescent="0.3">
      <c r="A33" s="105">
        <v>32</v>
      </c>
      <c r="B33" s="106" t="s">
        <v>137</v>
      </c>
      <c r="C33" s="108" t="s">
        <v>174</v>
      </c>
      <c r="D33" s="108" t="s">
        <v>149</v>
      </c>
      <c r="E33" s="109"/>
      <c r="F33" s="110" t="str">
        <f t="shared" ca="1" si="2"/>
        <v/>
      </c>
      <c r="G33" s="116">
        <v>2.25</v>
      </c>
      <c r="H33" s="111">
        <v>2.5</v>
      </c>
      <c r="I33" s="112">
        <v>0.2</v>
      </c>
      <c r="J33" s="112" t="s">
        <v>173</v>
      </c>
      <c r="K33" s="113" t="str">
        <f t="shared" si="1"/>
        <v>LOW</v>
      </c>
      <c r="L33" s="114" t="b">
        <v>1</v>
      </c>
      <c r="M33" s="114" t="b">
        <v>0</v>
      </c>
      <c r="N33" s="115"/>
    </row>
    <row r="34" spans="1:14" x14ac:dyDescent="0.3">
      <c r="A34" s="105">
        <v>33</v>
      </c>
      <c r="B34" s="106" t="s">
        <v>137</v>
      </c>
      <c r="C34" s="117" t="s">
        <v>93</v>
      </c>
      <c r="D34" s="108" t="s">
        <v>149</v>
      </c>
      <c r="E34" s="109"/>
      <c r="F34" s="110" t="str">
        <f t="shared" ca="1" si="2"/>
        <v/>
      </c>
      <c r="G34" s="116">
        <v>2.25</v>
      </c>
      <c r="H34" s="111">
        <v>2.5</v>
      </c>
      <c r="I34" s="112">
        <v>0.2</v>
      </c>
      <c r="J34" s="112" t="s">
        <v>173</v>
      </c>
      <c r="K34" s="113" t="str">
        <f t="shared" ref="K34:K65" si="3">IF(J34="0-6 Months","HIGH",IF(J34="6-12 Months","MEDIUM",IF(J34="&gt;12 Months","LOW","")))</f>
        <v>LOW</v>
      </c>
      <c r="L34" s="114" t="b">
        <v>1</v>
      </c>
      <c r="M34" s="114" t="b">
        <v>0</v>
      </c>
      <c r="N34" s="115"/>
    </row>
    <row r="35" spans="1:14" x14ac:dyDescent="0.3">
      <c r="A35" s="105">
        <v>34</v>
      </c>
      <c r="B35" s="106" t="s">
        <v>115</v>
      </c>
      <c r="C35" s="108" t="s">
        <v>79</v>
      </c>
      <c r="D35" s="108" t="s">
        <v>33</v>
      </c>
      <c r="E35" s="109"/>
      <c r="F35" s="110" t="str">
        <f t="shared" ca="1" si="2"/>
        <v/>
      </c>
      <c r="G35" s="111">
        <v>2.25</v>
      </c>
      <c r="H35" s="111">
        <v>3</v>
      </c>
      <c r="I35" s="112">
        <v>0.2</v>
      </c>
      <c r="J35" s="112" t="s">
        <v>173</v>
      </c>
      <c r="K35" s="113" t="str">
        <f t="shared" si="3"/>
        <v>LOW</v>
      </c>
      <c r="L35" s="114" t="b">
        <v>1</v>
      </c>
      <c r="M35" s="114" t="b">
        <v>0</v>
      </c>
      <c r="N35" s="115" t="s">
        <v>80</v>
      </c>
    </row>
    <row r="36" spans="1:14" x14ac:dyDescent="0.3">
      <c r="A36" s="105">
        <v>35</v>
      </c>
      <c r="B36" s="106" t="s">
        <v>115</v>
      </c>
      <c r="C36" s="108" t="s">
        <v>175</v>
      </c>
      <c r="D36" s="108" t="s">
        <v>125</v>
      </c>
      <c r="E36" s="109"/>
      <c r="F36" s="110" t="str">
        <f t="shared" ca="1" si="2"/>
        <v/>
      </c>
      <c r="G36" s="116">
        <v>20</v>
      </c>
      <c r="H36" s="116">
        <v>10</v>
      </c>
      <c r="I36" s="112">
        <v>0.5</v>
      </c>
      <c r="J36" s="112" t="s">
        <v>173</v>
      </c>
      <c r="K36" s="113" t="str">
        <f t="shared" si="3"/>
        <v>LOW</v>
      </c>
      <c r="L36" s="114" t="b">
        <v>1</v>
      </c>
      <c r="M36" s="114" t="b">
        <v>0</v>
      </c>
      <c r="N36" s="115" t="s">
        <v>176</v>
      </c>
    </row>
    <row r="37" spans="1:14" x14ac:dyDescent="0.3">
      <c r="A37" s="105">
        <v>36</v>
      </c>
      <c r="B37" s="106" t="s">
        <v>115</v>
      </c>
      <c r="C37" s="108" t="s">
        <v>177</v>
      </c>
      <c r="D37" s="108" t="s">
        <v>1</v>
      </c>
      <c r="E37" s="109"/>
      <c r="F37" s="110" t="str">
        <f t="shared" ca="1" si="2"/>
        <v/>
      </c>
      <c r="G37" s="111">
        <v>10.25</v>
      </c>
      <c r="H37" s="111">
        <v>10</v>
      </c>
      <c r="I37" s="112">
        <v>0.2</v>
      </c>
      <c r="J37" s="112" t="s">
        <v>173</v>
      </c>
      <c r="K37" s="113" t="str">
        <f t="shared" si="3"/>
        <v>LOW</v>
      </c>
      <c r="L37" s="114" t="b">
        <v>1</v>
      </c>
      <c r="M37" s="114" t="b">
        <v>0</v>
      </c>
      <c r="N37" s="115" t="s">
        <v>178</v>
      </c>
    </row>
    <row r="38" spans="1:14" x14ac:dyDescent="0.3">
      <c r="A38" s="105">
        <v>37</v>
      </c>
      <c r="B38" s="106" t="s">
        <v>115</v>
      </c>
      <c r="C38" s="108" t="s">
        <v>179</v>
      </c>
      <c r="D38" s="108" t="s">
        <v>2</v>
      </c>
      <c r="E38" s="109"/>
      <c r="F38" s="110" t="str">
        <f t="shared" ca="1" si="2"/>
        <v/>
      </c>
      <c r="G38" s="111">
        <v>2.25</v>
      </c>
      <c r="H38" s="111">
        <v>3.7</v>
      </c>
      <c r="I38" s="112">
        <v>0.5</v>
      </c>
      <c r="J38" s="112" t="s">
        <v>173</v>
      </c>
      <c r="K38" s="113" t="str">
        <f t="shared" si="3"/>
        <v>LOW</v>
      </c>
      <c r="L38" s="114" t="b">
        <v>1</v>
      </c>
      <c r="M38" s="114" t="b">
        <v>0</v>
      </c>
      <c r="N38" s="115" t="s">
        <v>5</v>
      </c>
    </row>
    <row r="39" spans="1:14" x14ac:dyDescent="0.3">
      <c r="A39" s="105">
        <v>38</v>
      </c>
      <c r="B39" s="106" t="s">
        <v>115</v>
      </c>
      <c r="C39" s="117" t="s">
        <v>180</v>
      </c>
      <c r="D39" s="117" t="s">
        <v>2</v>
      </c>
      <c r="E39" s="109"/>
      <c r="F39" s="110" t="str">
        <f t="shared" ca="1" si="2"/>
        <v/>
      </c>
      <c r="G39" s="111">
        <v>2.25</v>
      </c>
      <c r="H39" s="111">
        <v>3.7</v>
      </c>
      <c r="I39" s="112">
        <v>0.2</v>
      </c>
      <c r="J39" s="112" t="s">
        <v>173</v>
      </c>
      <c r="K39" s="113" t="str">
        <f t="shared" si="3"/>
        <v>LOW</v>
      </c>
      <c r="L39" s="114" t="b">
        <v>1</v>
      </c>
      <c r="M39" s="114" t="b">
        <v>0</v>
      </c>
      <c r="N39" s="115" t="s">
        <v>7</v>
      </c>
    </row>
    <row r="40" spans="1:14" x14ac:dyDescent="0.3">
      <c r="A40" s="105">
        <v>39</v>
      </c>
      <c r="B40" s="106" t="s">
        <v>115</v>
      </c>
      <c r="C40" s="108" t="s">
        <v>181</v>
      </c>
      <c r="D40" s="117" t="s">
        <v>2</v>
      </c>
      <c r="E40" s="109"/>
      <c r="F40" s="110" t="str">
        <f t="shared" ca="1" si="2"/>
        <v/>
      </c>
      <c r="G40" s="111">
        <v>2.25</v>
      </c>
      <c r="H40" s="111">
        <v>3.7</v>
      </c>
      <c r="I40" s="112">
        <v>0.2</v>
      </c>
      <c r="J40" s="112" t="s">
        <v>173</v>
      </c>
      <c r="K40" s="113" t="str">
        <f t="shared" si="3"/>
        <v>LOW</v>
      </c>
      <c r="L40" s="114" t="b">
        <v>0</v>
      </c>
      <c r="M40" s="114" t="b">
        <v>0</v>
      </c>
      <c r="N40" s="115" t="s">
        <v>8</v>
      </c>
    </row>
    <row r="41" spans="1:14" x14ac:dyDescent="0.3">
      <c r="A41" s="105">
        <v>40</v>
      </c>
      <c r="B41" s="106" t="s">
        <v>115</v>
      </c>
      <c r="C41" s="117" t="s">
        <v>182</v>
      </c>
      <c r="D41" s="117" t="s">
        <v>15</v>
      </c>
      <c r="E41" s="109"/>
      <c r="F41" s="110" t="str">
        <f t="shared" ca="1" si="2"/>
        <v/>
      </c>
      <c r="G41" s="111">
        <v>2.25</v>
      </c>
      <c r="H41" s="111">
        <v>2.5</v>
      </c>
      <c r="I41" s="112">
        <v>0.3</v>
      </c>
      <c r="J41" s="112" t="s">
        <v>173</v>
      </c>
      <c r="K41" s="113" t="str">
        <f t="shared" si="3"/>
        <v>LOW</v>
      </c>
      <c r="L41" s="114" t="b">
        <v>1</v>
      </c>
      <c r="M41" s="114" t="b">
        <v>1</v>
      </c>
      <c r="N41" s="115" t="s">
        <v>13</v>
      </c>
    </row>
    <row r="42" spans="1:14" x14ac:dyDescent="0.3">
      <c r="A42" s="105">
        <v>41</v>
      </c>
      <c r="B42" s="106" t="s">
        <v>115</v>
      </c>
      <c r="C42" s="117" t="s">
        <v>183</v>
      </c>
      <c r="D42" s="117" t="s">
        <v>14</v>
      </c>
      <c r="E42" s="109"/>
      <c r="F42" s="110" t="str">
        <f t="shared" ca="1" si="2"/>
        <v/>
      </c>
      <c r="G42" s="111">
        <v>2.25</v>
      </c>
      <c r="H42" s="111">
        <v>9</v>
      </c>
      <c r="I42" s="112">
        <v>0.3</v>
      </c>
      <c r="J42" s="112" t="s">
        <v>173</v>
      </c>
      <c r="K42" s="113" t="str">
        <f t="shared" si="3"/>
        <v>LOW</v>
      </c>
      <c r="L42" s="114" t="b">
        <v>0</v>
      </c>
      <c r="M42" s="114" t="b">
        <v>0</v>
      </c>
      <c r="N42" s="115" t="s">
        <v>184</v>
      </c>
    </row>
    <row r="43" spans="1:14" x14ac:dyDescent="0.3">
      <c r="A43" s="105">
        <v>42</v>
      </c>
      <c r="B43" s="106" t="s">
        <v>115</v>
      </c>
      <c r="C43" s="117" t="s">
        <v>17</v>
      </c>
      <c r="D43" s="117" t="s">
        <v>16</v>
      </c>
      <c r="E43" s="109"/>
      <c r="F43" s="110" t="str">
        <f t="shared" ca="1" si="2"/>
        <v/>
      </c>
      <c r="G43" s="111">
        <v>2.25</v>
      </c>
      <c r="H43" s="111">
        <v>2</v>
      </c>
      <c r="I43" s="112">
        <v>0.2</v>
      </c>
      <c r="J43" s="112" t="s">
        <v>173</v>
      </c>
      <c r="K43" s="113" t="str">
        <f t="shared" si="3"/>
        <v>LOW</v>
      </c>
      <c r="L43" s="114" t="b">
        <v>1</v>
      </c>
      <c r="M43" s="114" t="b">
        <v>1</v>
      </c>
      <c r="N43" s="115" t="s">
        <v>18</v>
      </c>
    </row>
    <row r="44" spans="1:14" x14ac:dyDescent="0.3">
      <c r="A44" s="105">
        <v>43</v>
      </c>
      <c r="B44" s="106" t="s">
        <v>115</v>
      </c>
      <c r="C44" s="108" t="s">
        <v>185</v>
      </c>
      <c r="D44" s="108" t="s">
        <v>24</v>
      </c>
      <c r="E44" s="109"/>
      <c r="F44" s="110" t="str">
        <f t="shared" ca="1" si="2"/>
        <v/>
      </c>
      <c r="G44" s="111">
        <v>2.25</v>
      </c>
      <c r="H44" s="111">
        <v>2</v>
      </c>
      <c r="I44" s="112">
        <v>0.2</v>
      </c>
      <c r="J44" s="112" t="s">
        <v>173</v>
      </c>
      <c r="K44" s="113" t="str">
        <f t="shared" si="3"/>
        <v>LOW</v>
      </c>
      <c r="L44" s="114" t="b">
        <v>1</v>
      </c>
      <c r="M44" s="114" t="b">
        <v>0</v>
      </c>
      <c r="N44" s="115" t="s">
        <v>186</v>
      </c>
    </row>
    <row r="45" spans="1:14" x14ac:dyDescent="0.3">
      <c r="A45" s="105">
        <v>44</v>
      </c>
      <c r="B45" s="106" t="s">
        <v>115</v>
      </c>
      <c r="C45" s="108" t="s">
        <v>187</v>
      </c>
      <c r="D45" s="108" t="s">
        <v>24</v>
      </c>
      <c r="E45" s="109"/>
      <c r="F45" s="110" t="str">
        <f t="shared" ca="1" si="2"/>
        <v/>
      </c>
      <c r="G45" s="111">
        <v>2.25</v>
      </c>
      <c r="H45" s="111">
        <v>2</v>
      </c>
      <c r="I45" s="112">
        <v>0.2</v>
      </c>
      <c r="J45" s="112" t="s">
        <v>173</v>
      </c>
      <c r="K45" s="113" t="str">
        <f t="shared" si="3"/>
        <v>LOW</v>
      </c>
      <c r="L45" s="114" t="b">
        <v>1</v>
      </c>
      <c r="M45" s="114" t="b">
        <v>0</v>
      </c>
      <c r="N45" s="115" t="s">
        <v>25</v>
      </c>
    </row>
    <row r="46" spans="1:14" x14ac:dyDescent="0.3">
      <c r="A46" s="105">
        <v>45</v>
      </c>
      <c r="B46" s="106" t="s">
        <v>115</v>
      </c>
      <c r="C46" s="108" t="s">
        <v>26</v>
      </c>
      <c r="D46" s="117" t="s">
        <v>24</v>
      </c>
      <c r="E46" s="109"/>
      <c r="F46" s="110" t="str">
        <f t="shared" ca="1" si="2"/>
        <v/>
      </c>
      <c r="G46" s="111">
        <v>2.25</v>
      </c>
      <c r="H46" s="111">
        <v>2</v>
      </c>
      <c r="I46" s="112">
        <v>0.2</v>
      </c>
      <c r="J46" s="112" t="s">
        <v>173</v>
      </c>
      <c r="K46" s="113" t="str">
        <f t="shared" si="3"/>
        <v>LOW</v>
      </c>
      <c r="L46" s="114" t="b">
        <v>0</v>
      </c>
      <c r="M46" s="114" t="b">
        <v>0</v>
      </c>
      <c r="N46" s="115" t="s">
        <v>27</v>
      </c>
    </row>
    <row r="47" spans="1:14" x14ac:dyDescent="0.3">
      <c r="A47" s="105">
        <v>46</v>
      </c>
      <c r="B47" s="106" t="s">
        <v>115</v>
      </c>
      <c r="C47" s="108" t="s">
        <v>188</v>
      </c>
      <c r="D47" s="108" t="s">
        <v>31</v>
      </c>
      <c r="E47" s="109"/>
      <c r="F47" s="110" t="str">
        <f t="shared" ca="1" si="2"/>
        <v/>
      </c>
      <c r="G47" s="111">
        <v>2.25</v>
      </c>
      <c r="H47" s="111">
        <v>2</v>
      </c>
      <c r="I47" s="112">
        <v>0.2</v>
      </c>
      <c r="J47" s="112" t="s">
        <v>173</v>
      </c>
      <c r="K47" s="113" t="str">
        <f t="shared" si="3"/>
        <v>LOW</v>
      </c>
      <c r="L47" s="114" t="b">
        <v>0</v>
      </c>
      <c r="M47" s="114" t="b">
        <v>0</v>
      </c>
      <c r="N47" s="115" t="s">
        <v>32</v>
      </c>
    </row>
    <row r="48" spans="1:14" x14ac:dyDescent="0.3">
      <c r="A48" s="105">
        <v>47</v>
      </c>
      <c r="B48" s="106" t="s">
        <v>115</v>
      </c>
      <c r="C48" s="108" t="s">
        <v>189</v>
      </c>
      <c r="D48" s="108" t="s">
        <v>34</v>
      </c>
      <c r="E48" s="109"/>
      <c r="F48" s="110" t="str">
        <f t="shared" ca="1" si="2"/>
        <v/>
      </c>
      <c r="G48" s="111">
        <v>2.25</v>
      </c>
      <c r="H48" s="111">
        <v>2</v>
      </c>
      <c r="I48" s="112">
        <v>0.2</v>
      </c>
      <c r="J48" s="112" t="s">
        <v>173</v>
      </c>
      <c r="K48" s="113" t="str">
        <f t="shared" si="3"/>
        <v>LOW</v>
      </c>
      <c r="L48" s="114" t="b">
        <v>0</v>
      </c>
      <c r="M48" s="114" t="b">
        <v>0</v>
      </c>
      <c r="N48" s="115" t="s">
        <v>35</v>
      </c>
    </row>
    <row r="49" spans="1:14" x14ac:dyDescent="0.3">
      <c r="A49" s="105">
        <v>48</v>
      </c>
      <c r="B49" s="106" t="s">
        <v>115</v>
      </c>
      <c r="C49" s="108" t="s">
        <v>37</v>
      </c>
      <c r="D49" s="108" t="s">
        <v>39</v>
      </c>
      <c r="E49" s="109"/>
      <c r="F49" s="110" t="str">
        <f t="shared" ca="1" si="2"/>
        <v/>
      </c>
      <c r="G49" s="111">
        <v>2.25</v>
      </c>
      <c r="H49" s="111">
        <v>2</v>
      </c>
      <c r="I49" s="112">
        <v>0.2</v>
      </c>
      <c r="J49" s="112" t="s">
        <v>173</v>
      </c>
      <c r="K49" s="113" t="str">
        <f t="shared" si="3"/>
        <v>LOW</v>
      </c>
      <c r="L49" s="114" t="b">
        <v>1</v>
      </c>
      <c r="M49" s="114" t="b">
        <v>0</v>
      </c>
      <c r="N49" s="115" t="s">
        <v>38</v>
      </c>
    </row>
    <row r="50" spans="1:14" x14ac:dyDescent="0.3">
      <c r="A50" s="105">
        <v>49</v>
      </c>
      <c r="B50" s="106" t="s">
        <v>115</v>
      </c>
      <c r="C50" s="108" t="s">
        <v>190</v>
      </c>
      <c r="D50" s="108" t="s">
        <v>125</v>
      </c>
      <c r="E50" s="109"/>
      <c r="F50" s="110" t="str">
        <f t="shared" ca="1" si="2"/>
        <v/>
      </c>
      <c r="G50" s="111">
        <v>2.25</v>
      </c>
      <c r="H50" s="111">
        <v>2</v>
      </c>
      <c r="I50" s="112">
        <v>0.2</v>
      </c>
      <c r="J50" s="112" t="s">
        <v>173</v>
      </c>
      <c r="K50" s="113" t="str">
        <f t="shared" si="3"/>
        <v>LOW</v>
      </c>
      <c r="L50" s="114" t="b">
        <v>0</v>
      </c>
      <c r="M50" s="114" t="b">
        <v>0</v>
      </c>
      <c r="N50" s="115" t="s">
        <v>191</v>
      </c>
    </row>
    <row r="51" spans="1:14" x14ac:dyDescent="0.3">
      <c r="A51" s="105">
        <v>50</v>
      </c>
      <c r="B51" s="106" t="s">
        <v>115</v>
      </c>
      <c r="C51" s="108" t="s">
        <v>192</v>
      </c>
      <c r="D51" s="108" t="s">
        <v>149</v>
      </c>
      <c r="E51" s="109"/>
      <c r="F51" s="110" t="str">
        <f t="shared" ca="1" si="2"/>
        <v/>
      </c>
      <c r="G51" s="111">
        <v>2.25</v>
      </c>
      <c r="H51" s="111">
        <v>2</v>
      </c>
      <c r="I51" s="112">
        <v>0.2</v>
      </c>
      <c r="J51" s="112" t="s">
        <v>173</v>
      </c>
      <c r="K51" s="113" t="str">
        <f t="shared" si="3"/>
        <v>LOW</v>
      </c>
      <c r="L51" s="114" t="b">
        <v>1</v>
      </c>
      <c r="M51" s="114" t="b">
        <v>0</v>
      </c>
      <c r="N51" s="115" t="s">
        <v>44</v>
      </c>
    </row>
    <row r="52" spans="1:14" x14ac:dyDescent="0.3">
      <c r="A52" s="105">
        <v>51</v>
      </c>
      <c r="B52" s="106" t="s">
        <v>115</v>
      </c>
      <c r="C52" s="108" t="s">
        <v>193</v>
      </c>
      <c r="D52" s="108" t="s">
        <v>149</v>
      </c>
      <c r="E52" s="109"/>
      <c r="F52" s="110" t="str">
        <f t="shared" ca="1" si="2"/>
        <v/>
      </c>
      <c r="G52" s="111">
        <v>15</v>
      </c>
      <c r="H52" s="111">
        <v>15</v>
      </c>
      <c r="I52" s="112">
        <v>0.2</v>
      </c>
      <c r="J52" s="112" t="s">
        <v>173</v>
      </c>
      <c r="K52" s="113" t="str">
        <f t="shared" si="3"/>
        <v>LOW</v>
      </c>
      <c r="L52" s="114" t="b">
        <v>1</v>
      </c>
      <c r="M52" s="114" t="b">
        <v>0</v>
      </c>
      <c r="N52" s="115" t="s">
        <v>194</v>
      </c>
    </row>
    <row r="53" spans="1:14" x14ac:dyDescent="0.3">
      <c r="A53" s="105">
        <v>52</v>
      </c>
      <c r="B53" s="106" t="s">
        <v>115</v>
      </c>
      <c r="C53" s="108" t="s">
        <v>45</v>
      </c>
      <c r="D53" s="108" t="s">
        <v>149</v>
      </c>
      <c r="E53" s="109"/>
      <c r="F53" s="110" t="str">
        <f t="shared" ca="1" si="2"/>
        <v/>
      </c>
      <c r="G53" s="111">
        <v>2.25</v>
      </c>
      <c r="H53" s="111">
        <v>2</v>
      </c>
      <c r="I53" s="112">
        <v>0.2</v>
      </c>
      <c r="J53" s="112" t="s">
        <v>173</v>
      </c>
      <c r="K53" s="113" t="str">
        <f t="shared" si="3"/>
        <v>LOW</v>
      </c>
      <c r="L53" s="114" t="b">
        <v>0</v>
      </c>
      <c r="M53" s="114" t="b">
        <v>0</v>
      </c>
      <c r="N53" s="115" t="s">
        <v>46</v>
      </c>
    </row>
    <row r="54" spans="1:14" x14ac:dyDescent="0.3">
      <c r="A54" s="105">
        <v>53</v>
      </c>
      <c r="B54" s="106" t="s">
        <v>115</v>
      </c>
      <c r="C54" s="108" t="s">
        <v>50</v>
      </c>
      <c r="D54" s="108" t="s">
        <v>24</v>
      </c>
      <c r="E54" s="109"/>
      <c r="F54" s="110" t="str">
        <f t="shared" ca="1" si="2"/>
        <v/>
      </c>
      <c r="G54" s="111">
        <v>2.25</v>
      </c>
      <c r="H54" s="111">
        <v>2</v>
      </c>
      <c r="I54" s="112">
        <v>0.2</v>
      </c>
      <c r="J54" s="112" t="s">
        <v>173</v>
      </c>
      <c r="K54" s="113" t="str">
        <f t="shared" si="3"/>
        <v>LOW</v>
      </c>
      <c r="L54" s="114" t="b">
        <v>0</v>
      </c>
      <c r="M54" s="114" t="b">
        <v>0</v>
      </c>
      <c r="N54" s="115" t="s">
        <v>195</v>
      </c>
    </row>
    <row r="55" spans="1:14" x14ac:dyDescent="0.3">
      <c r="A55" s="105">
        <v>54</v>
      </c>
      <c r="B55" s="106" t="s">
        <v>115</v>
      </c>
      <c r="C55" s="108" t="s">
        <v>51</v>
      </c>
      <c r="D55" s="108" t="s">
        <v>149</v>
      </c>
      <c r="E55" s="109"/>
      <c r="F55" s="110" t="str">
        <f t="shared" ca="1" si="2"/>
        <v/>
      </c>
      <c r="G55" s="111">
        <v>2.25</v>
      </c>
      <c r="H55" s="111">
        <v>2</v>
      </c>
      <c r="I55" s="112">
        <v>0.2</v>
      </c>
      <c r="J55" s="112" t="s">
        <v>173</v>
      </c>
      <c r="K55" s="113" t="str">
        <f t="shared" si="3"/>
        <v>LOW</v>
      </c>
      <c r="L55" s="114" t="b">
        <v>0</v>
      </c>
      <c r="M55" s="114" t="b">
        <v>0</v>
      </c>
      <c r="N55" s="115" t="s">
        <v>52</v>
      </c>
    </row>
    <row r="56" spans="1:14" x14ac:dyDescent="0.3">
      <c r="A56" s="105">
        <v>55</v>
      </c>
      <c r="B56" s="106" t="s">
        <v>115</v>
      </c>
      <c r="C56" s="108" t="s">
        <v>54</v>
      </c>
      <c r="D56" s="108" t="s">
        <v>125</v>
      </c>
      <c r="E56" s="109"/>
      <c r="F56" s="110" t="str">
        <f t="shared" ca="1" si="2"/>
        <v/>
      </c>
      <c r="G56" s="111">
        <v>2.25</v>
      </c>
      <c r="H56" s="111">
        <v>2</v>
      </c>
      <c r="I56" s="112">
        <v>0.2</v>
      </c>
      <c r="J56" s="112" t="s">
        <v>173</v>
      </c>
      <c r="K56" s="113" t="str">
        <f t="shared" si="3"/>
        <v>LOW</v>
      </c>
      <c r="L56" s="114" t="b">
        <v>1</v>
      </c>
      <c r="M56" s="114" t="b">
        <v>0</v>
      </c>
      <c r="N56" s="115" t="s">
        <v>196</v>
      </c>
    </row>
    <row r="57" spans="1:14" x14ac:dyDescent="0.3">
      <c r="A57" s="105">
        <v>56</v>
      </c>
      <c r="B57" s="106" t="s">
        <v>115</v>
      </c>
      <c r="C57" s="108" t="s">
        <v>74</v>
      </c>
      <c r="D57" s="108" t="s">
        <v>149</v>
      </c>
      <c r="E57" s="118"/>
      <c r="F57" s="119" t="str">
        <f t="shared" ca="1" si="2"/>
        <v/>
      </c>
      <c r="G57" s="111">
        <v>4</v>
      </c>
      <c r="H57" s="111">
        <v>5</v>
      </c>
      <c r="I57" s="112">
        <v>0.2</v>
      </c>
      <c r="J57" s="120" t="s">
        <v>173</v>
      </c>
      <c r="K57" s="121" t="str">
        <f t="shared" si="3"/>
        <v>LOW</v>
      </c>
      <c r="L57" s="114" t="b">
        <v>0</v>
      </c>
      <c r="M57" s="114" t="b">
        <v>0</v>
      </c>
      <c r="N57" s="122" t="s">
        <v>197</v>
      </c>
    </row>
    <row r="58" spans="1:14" x14ac:dyDescent="0.3">
      <c r="A58" s="105">
        <v>57</v>
      </c>
      <c r="B58" s="106" t="s">
        <v>115</v>
      </c>
      <c r="C58" s="108" t="s">
        <v>198</v>
      </c>
      <c r="D58" s="108" t="s">
        <v>149</v>
      </c>
      <c r="E58" s="109"/>
      <c r="F58" s="110" t="str">
        <f t="shared" ca="1" si="2"/>
        <v/>
      </c>
      <c r="G58" s="111">
        <v>2.25</v>
      </c>
      <c r="H58" s="111">
        <v>2</v>
      </c>
      <c r="I58" s="112">
        <v>0.2</v>
      </c>
      <c r="J58" s="112" t="s">
        <v>173</v>
      </c>
      <c r="K58" s="113" t="str">
        <f t="shared" si="3"/>
        <v>LOW</v>
      </c>
      <c r="L58" s="114" t="b">
        <v>1</v>
      </c>
      <c r="M58" s="114" t="b">
        <v>0</v>
      </c>
      <c r="N58" s="115" t="s">
        <v>199</v>
      </c>
    </row>
    <row r="59" spans="1:14" x14ac:dyDescent="0.3">
      <c r="A59" s="105">
        <v>58</v>
      </c>
      <c r="B59" s="106" t="s">
        <v>115</v>
      </c>
      <c r="C59" s="108" t="s">
        <v>56</v>
      </c>
      <c r="D59" s="108" t="s">
        <v>125</v>
      </c>
      <c r="E59" s="109"/>
      <c r="F59" s="110" t="str">
        <f t="shared" ca="1" si="2"/>
        <v/>
      </c>
      <c r="G59" s="111">
        <v>2.25</v>
      </c>
      <c r="H59" s="111">
        <v>2</v>
      </c>
      <c r="I59" s="112">
        <v>0.2</v>
      </c>
      <c r="J59" s="112" t="s">
        <v>173</v>
      </c>
      <c r="K59" s="113" t="str">
        <f t="shared" si="3"/>
        <v>LOW</v>
      </c>
      <c r="L59" s="114" t="b">
        <v>0</v>
      </c>
      <c r="M59" s="114" t="b">
        <v>0</v>
      </c>
      <c r="N59" s="115" t="s">
        <v>57</v>
      </c>
    </row>
    <row r="60" spans="1:14" x14ac:dyDescent="0.3">
      <c r="A60" s="105">
        <v>59</v>
      </c>
      <c r="B60" s="106" t="s">
        <v>115</v>
      </c>
      <c r="C60" s="108" t="s">
        <v>200</v>
      </c>
      <c r="D60" s="108" t="s">
        <v>24</v>
      </c>
      <c r="E60" s="109"/>
      <c r="F60" s="110" t="str">
        <f t="shared" ca="1" si="2"/>
        <v/>
      </c>
      <c r="G60" s="111">
        <v>2.25</v>
      </c>
      <c r="H60" s="111">
        <v>2</v>
      </c>
      <c r="I60" s="112">
        <v>0.2</v>
      </c>
      <c r="J60" s="112" t="s">
        <v>173</v>
      </c>
      <c r="K60" s="113" t="str">
        <f t="shared" si="3"/>
        <v>LOW</v>
      </c>
      <c r="L60" s="114" t="b">
        <v>1</v>
      </c>
      <c r="M60" s="114" t="b">
        <v>1</v>
      </c>
      <c r="N60" s="115" t="s">
        <v>58</v>
      </c>
    </row>
    <row r="61" spans="1:14" x14ac:dyDescent="0.3">
      <c r="A61" s="105">
        <v>60</v>
      </c>
      <c r="B61" s="106" t="s">
        <v>115</v>
      </c>
      <c r="C61" s="108" t="s">
        <v>59</v>
      </c>
      <c r="D61" s="108" t="s">
        <v>16</v>
      </c>
      <c r="E61" s="109"/>
      <c r="F61" s="110" t="str">
        <f t="shared" ca="1" si="2"/>
        <v/>
      </c>
      <c r="G61" s="111">
        <v>2.25</v>
      </c>
      <c r="H61" s="111">
        <v>2</v>
      </c>
      <c r="I61" s="112">
        <v>0.2</v>
      </c>
      <c r="J61" s="112" t="s">
        <v>173</v>
      </c>
      <c r="K61" s="113" t="str">
        <f t="shared" si="3"/>
        <v>LOW</v>
      </c>
      <c r="L61" s="114" t="b">
        <v>1</v>
      </c>
      <c r="M61" s="114" t="b">
        <v>0</v>
      </c>
      <c r="N61" s="115" t="s">
        <v>60</v>
      </c>
    </row>
    <row r="62" spans="1:14" x14ac:dyDescent="0.3">
      <c r="A62" s="105">
        <v>61</v>
      </c>
      <c r="B62" s="106" t="s">
        <v>115</v>
      </c>
      <c r="C62" s="108" t="s">
        <v>201</v>
      </c>
      <c r="D62" s="108" t="s">
        <v>149</v>
      </c>
      <c r="E62" s="109"/>
      <c r="F62" s="110" t="str">
        <f t="shared" ca="1" si="2"/>
        <v/>
      </c>
      <c r="G62" s="111">
        <v>2.25</v>
      </c>
      <c r="H62" s="111">
        <v>2</v>
      </c>
      <c r="I62" s="112">
        <v>0.2</v>
      </c>
      <c r="J62" s="112" t="s">
        <v>173</v>
      </c>
      <c r="K62" s="113" t="str">
        <f t="shared" si="3"/>
        <v>LOW</v>
      </c>
      <c r="L62" s="114" t="b">
        <v>1</v>
      </c>
      <c r="M62" s="114" t="b">
        <v>0</v>
      </c>
      <c r="N62" s="115" t="s">
        <v>61</v>
      </c>
    </row>
    <row r="63" spans="1:14" x14ac:dyDescent="0.3">
      <c r="A63" s="105">
        <v>62</v>
      </c>
      <c r="B63" s="106" t="s">
        <v>115</v>
      </c>
      <c r="C63" s="108" t="s">
        <v>63</v>
      </c>
      <c r="D63" s="108" t="s">
        <v>41</v>
      </c>
      <c r="E63" s="109"/>
      <c r="F63" s="110" t="str">
        <f t="shared" ca="1" si="2"/>
        <v/>
      </c>
      <c r="G63" s="111">
        <v>2.25</v>
      </c>
      <c r="H63" s="111">
        <v>2</v>
      </c>
      <c r="I63" s="112">
        <v>0.2</v>
      </c>
      <c r="J63" s="112" t="s">
        <v>173</v>
      </c>
      <c r="K63" s="113" t="str">
        <f t="shared" si="3"/>
        <v>LOW</v>
      </c>
      <c r="L63" s="114" t="b">
        <v>0</v>
      </c>
      <c r="M63" s="114" t="b">
        <v>0</v>
      </c>
      <c r="N63" s="115" t="s">
        <v>64</v>
      </c>
    </row>
    <row r="64" spans="1:14" x14ac:dyDescent="0.3">
      <c r="A64" s="105">
        <v>63</v>
      </c>
      <c r="B64" s="106" t="s">
        <v>115</v>
      </c>
      <c r="C64" s="108" t="s">
        <v>202</v>
      </c>
      <c r="D64" s="108" t="s">
        <v>2</v>
      </c>
      <c r="E64" s="109"/>
      <c r="F64" s="110" t="str">
        <f t="shared" ca="1" si="2"/>
        <v/>
      </c>
      <c r="G64" s="111">
        <v>2.25</v>
      </c>
      <c r="H64" s="111">
        <v>2</v>
      </c>
      <c r="I64" s="112">
        <v>0.2</v>
      </c>
      <c r="J64" s="112" t="s">
        <v>173</v>
      </c>
      <c r="K64" s="113" t="str">
        <f t="shared" si="3"/>
        <v>LOW</v>
      </c>
      <c r="L64" s="114" t="b">
        <v>1</v>
      </c>
      <c r="M64" s="114" t="b">
        <v>0</v>
      </c>
      <c r="N64" s="115" t="s">
        <v>203</v>
      </c>
    </row>
    <row r="65" spans="1:14" x14ac:dyDescent="0.3">
      <c r="A65" s="105">
        <v>64</v>
      </c>
      <c r="B65" s="106" t="s">
        <v>115</v>
      </c>
      <c r="C65" s="108" t="s">
        <v>69</v>
      </c>
      <c r="D65" s="108" t="s">
        <v>149</v>
      </c>
      <c r="E65" s="109"/>
      <c r="F65" s="110" t="str">
        <f t="shared" ca="1" si="2"/>
        <v/>
      </c>
      <c r="G65" s="111">
        <v>15</v>
      </c>
      <c r="H65" s="111">
        <v>15</v>
      </c>
      <c r="I65" s="112">
        <v>0.3</v>
      </c>
      <c r="J65" s="112" t="s">
        <v>173</v>
      </c>
      <c r="K65" s="113" t="str">
        <f t="shared" si="3"/>
        <v>LOW</v>
      </c>
      <c r="L65" s="114" t="b">
        <v>0</v>
      </c>
      <c r="M65" s="114" t="b">
        <v>0</v>
      </c>
      <c r="N65" s="115" t="s">
        <v>204</v>
      </c>
    </row>
    <row r="66" spans="1:14" x14ac:dyDescent="0.3">
      <c r="A66" s="105">
        <v>65</v>
      </c>
      <c r="B66" s="106" t="s">
        <v>127</v>
      </c>
      <c r="C66" s="108" t="s">
        <v>88</v>
      </c>
      <c r="D66" s="108" t="s">
        <v>149</v>
      </c>
      <c r="E66" s="109"/>
      <c r="F66" s="110" t="str">
        <f t="shared" ca="1" si="2"/>
        <v/>
      </c>
      <c r="G66" s="111">
        <v>2</v>
      </c>
      <c r="H66" s="111">
        <v>3</v>
      </c>
      <c r="I66" s="112">
        <v>0.4</v>
      </c>
      <c r="J66" s="112" t="s">
        <v>173</v>
      </c>
      <c r="K66" s="113" t="str">
        <f t="shared" ref="K66:K91" si="4">IF(J66="0-6 Months","HIGH",IF(J66="6-12 Months","MEDIUM",IF(J66="&gt;12 Months","LOW","")))</f>
        <v>LOW</v>
      </c>
      <c r="L66" s="114" t="b">
        <v>1</v>
      </c>
      <c r="M66" s="114" t="b">
        <v>0</v>
      </c>
      <c r="N66" s="115" t="s">
        <v>205</v>
      </c>
    </row>
    <row r="67" spans="1:14" x14ac:dyDescent="0.3">
      <c r="A67" s="105">
        <v>66</v>
      </c>
      <c r="B67" s="106" t="s">
        <v>127</v>
      </c>
      <c r="C67" s="108" t="s">
        <v>89</v>
      </c>
      <c r="D67" s="108" t="s">
        <v>30</v>
      </c>
      <c r="E67" s="109"/>
      <c r="F67" s="110" t="str">
        <f t="shared" ca="1" si="2"/>
        <v/>
      </c>
      <c r="G67" s="111">
        <v>1</v>
      </c>
      <c r="H67" s="111">
        <v>3</v>
      </c>
      <c r="I67" s="112">
        <v>0.2</v>
      </c>
      <c r="J67" s="112" t="s">
        <v>173</v>
      </c>
      <c r="K67" s="113" t="str">
        <f t="shared" si="4"/>
        <v>LOW</v>
      </c>
      <c r="L67" s="114" t="b">
        <v>1</v>
      </c>
      <c r="M67" s="114" t="b">
        <v>0</v>
      </c>
      <c r="N67" s="115" t="s">
        <v>90</v>
      </c>
    </row>
    <row r="68" spans="1:14" x14ac:dyDescent="0.3">
      <c r="A68" s="105">
        <v>67</v>
      </c>
      <c r="B68" s="106" t="s">
        <v>127</v>
      </c>
      <c r="C68" s="108" t="s">
        <v>91</v>
      </c>
      <c r="D68" s="108" t="s">
        <v>21</v>
      </c>
      <c r="E68" s="109"/>
      <c r="F68" s="110" t="str">
        <f t="shared" ca="1" si="2"/>
        <v/>
      </c>
      <c r="G68" s="111">
        <v>1</v>
      </c>
      <c r="H68" s="111">
        <v>4</v>
      </c>
      <c r="I68" s="112">
        <v>0.3</v>
      </c>
      <c r="J68" s="112" t="s">
        <v>173</v>
      </c>
      <c r="K68" s="113" t="str">
        <f t="shared" si="4"/>
        <v>LOW</v>
      </c>
      <c r="L68" s="114" t="b">
        <v>1</v>
      </c>
      <c r="M68" s="114" t="b">
        <v>0</v>
      </c>
      <c r="N68" s="115" t="s">
        <v>92</v>
      </c>
    </row>
    <row r="69" spans="1:14" x14ac:dyDescent="0.3">
      <c r="A69" s="105">
        <v>68</v>
      </c>
      <c r="B69" s="106" t="s">
        <v>115</v>
      </c>
      <c r="C69" s="108" t="s">
        <v>78</v>
      </c>
      <c r="D69" s="108" t="s">
        <v>149</v>
      </c>
      <c r="E69" s="109"/>
      <c r="F69" s="110" t="str">
        <f t="shared" ca="1" si="2"/>
        <v/>
      </c>
      <c r="G69" s="111">
        <v>6.25</v>
      </c>
      <c r="H69" s="111">
        <v>5</v>
      </c>
      <c r="I69" s="112">
        <v>0.3</v>
      </c>
      <c r="J69" s="112" t="s">
        <v>173</v>
      </c>
      <c r="K69" s="113" t="str">
        <f t="shared" si="4"/>
        <v>LOW</v>
      </c>
      <c r="L69" s="114" t="b">
        <v>1</v>
      </c>
      <c r="M69" s="114" t="b">
        <v>0</v>
      </c>
      <c r="N69" s="115" t="s">
        <v>206</v>
      </c>
    </row>
    <row r="70" spans="1:14" x14ac:dyDescent="0.3">
      <c r="A70" s="105">
        <v>69</v>
      </c>
      <c r="B70" s="106" t="s">
        <v>115</v>
      </c>
      <c r="C70" s="108" t="s">
        <v>22</v>
      </c>
      <c r="D70" s="108" t="s">
        <v>21</v>
      </c>
      <c r="E70" s="109"/>
      <c r="F70" s="110"/>
      <c r="G70" s="111">
        <v>2.25</v>
      </c>
      <c r="H70" s="111">
        <v>2</v>
      </c>
      <c r="I70" s="112">
        <v>0.3</v>
      </c>
      <c r="J70" s="112" t="s">
        <v>173</v>
      </c>
      <c r="K70" s="113" t="str">
        <f t="shared" si="4"/>
        <v>LOW</v>
      </c>
      <c r="L70" s="114" t="b">
        <v>1</v>
      </c>
      <c r="M70" s="114" t="b">
        <v>0</v>
      </c>
      <c r="N70" s="115" t="s">
        <v>23</v>
      </c>
    </row>
    <row r="71" spans="1:14" x14ac:dyDescent="0.3">
      <c r="A71" s="105">
        <v>70</v>
      </c>
      <c r="B71" s="106" t="s">
        <v>130</v>
      </c>
      <c r="C71" s="108" t="s">
        <v>71</v>
      </c>
      <c r="D71" s="108" t="s">
        <v>16</v>
      </c>
      <c r="E71" s="109"/>
      <c r="F71" s="110" t="str">
        <f t="shared" ref="F71:F90" ca="1" si="5">IF(E71="","",TODAY()-E71)</f>
        <v/>
      </c>
      <c r="G71" s="111">
        <v>2.25</v>
      </c>
      <c r="H71" s="111">
        <v>3</v>
      </c>
      <c r="I71" s="112">
        <v>0.1</v>
      </c>
      <c r="J71" s="112" t="s">
        <v>173</v>
      </c>
      <c r="K71" s="113" t="str">
        <f t="shared" si="4"/>
        <v>LOW</v>
      </c>
      <c r="L71" s="114" t="b">
        <v>1</v>
      </c>
      <c r="M71" s="114" t="b">
        <v>0</v>
      </c>
      <c r="N71" s="115" t="s">
        <v>207</v>
      </c>
    </row>
    <row r="72" spans="1:14" x14ac:dyDescent="0.3">
      <c r="A72" s="105">
        <v>71</v>
      </c>
      <c r="B72" s="106" t="s">
        <v>130</v>
      </c>
      <c r="C72" s="108" t="s">
        <v>73</v>
      </c>
      <c r="D72" s="108" t="s">
        <v>125</v>
      </c>
      <c r="E72" s="109"/>
      <c r="F72" s="110" t="str">
        <f t="shared" ca="1" si="5"/>
        <v/>
      </c>
      <c r="G72" s="111">
        <v>2.25</v>
      </c>
      <c r="H72" s="111">
        <v>2</v>
      </c>
      <c r="I72" s="112">
        <v>0.05</v>
      </c>
      <c r="J72" s="112" t="s">
        <v>173</v>
      </c>
      <c r="K72" s="113" t="str">
        <f t="shared" si="4"/>
        <v>LOW</v>
      </c>
      <c r="L72" s="114" t="b">
        <v>1</v>
      </c>
      <c r="M72" s="114" t="b">
        <v>0</v>
      </c>
      <c r="N72" s="115" t="s">
        <v>208</v>
      </c>
    </row>
    <row r="73" spans="1:14" x14ac:dyDescent="0.3">
      <c r="A73" s="105">
        <v>72</v>
      </c>
      <c r="B73" s="106" t="s">
        <v>130</v>
      </c>
      <c r="C73" s="108" t="s">
        <v>76</v>
      </c>
      <c r="D73" s="108" t="s">
        <v>14</v>
      </c>
      <c r="E73" s="109"/>
      <c r="F73" s="110" t="str">
        <f t="shared" ca="1" si="5"/>
        <v/>
      </c>
      <c r="G73" s="111">
        <v>2.25</v>
      </c>
      <c r="H73" s="111">
        <v>4</v>
      </c>
      <c r="I73" s="112">
        <v>0.1</v>
      </c>
      <c r="J73" s="112" t="s">
        <v>173</v>
      </c>
      <c r="K73" s="113" t="str">
        <f t="shared" si="4"/>
        <v>LOW</v>
      </c>
      <c r="L73" s="114" t="b">
        <v>0</v>
      </c>
      <c r="M73" s="114" t="b">
        <v>0</v>
      </c>
      <c r="N73" s="115" t="s">
        <v>77</v>
      </c>
    </row>
    <row r="74" spans="1:14" x14ac:dyDescent="0.3">
      <c r="A74" s="123">
        <v>73</v>
      </c>
      <c r="B74" s="106" t="s">
        <v>137</v>
      </c>
      <c r="C74" s="108" t="s">
        <v>82</v>
      </c>
      <c r="D74" s="108" t="s">
        <v>31</v>
      </c>
      <c r="E74" s="118"/>
      <c r="F74" s="119" t="str">
        <f t="shared" ca="1" si="5"/>
        <v/>
      </c>
      <c r="G74" s="111">
        <v>2.25</v>
      </c>
      <c r="H74" s="111">
        <v>3</v>
      </c>
      <c r="I74" s="112">
        <v>0.4</v>
      </c>
      <c r="J74" s="112" t="s">
        <v>173</v>
      </c>
      <c r="K74" s="121" t="str">
        <f t="shared" si="4"/>
        <v>LOW</v>
      </c>
      <c r="L74" s="114" t="b">
        <v>1</v>
      </c>
      <c r="M74" s="114" t="b">
        <v>0</v>
      </c>
      <c r="N74" s="122" t="s">
        <v>83</v>
      </c>
    </row>
    <row r="75" spans="1:14" x14ac:dyDescent="0.3">
      <c r="A75" s="123">
        <v>74</v>
      </c>
      <c r="B75" s="106" t="s">
        <v>137</v>
      </c>
      <c r="C75" s="108" t="s">
        <v>84</v>
      </c>
      <c r="D75" s="108" t="s">
        <v>34</v>
      </c>
      <c r="E75" s="118"/>
      <c r="F75" s="119" t="str">
        <f t="shared" ca="1" si="5"/>
        <v/>
      </c>
      <c r="G75" s="111">
        <v>2.25</v>
      </c>
      <c r="H75" s="111">
        <v>3</v>
      </c>
      <c r="I75" s="112">
        <v>0.4</v>
      </c>
      <c r="J75" s="112" t="s">
        <v>173</v>
      </c>
      <c r="K75" s="121" t="str">
        <f t="shared" si="4"/>
        <v>LOW</v>
      </c>
      <c r="L75" s="114" t="b">
        <v>1</v>
      </c>
      <c r="M75" s="114" t="b">
        <v>0</v>
      </c>
      <c r="N75" s="122"/>
    </row>
    <row r="76" spans="1:14" x14ac:dyDescent="0.3">
      <c r="A76" s="123">
        <v>75</v>
      </c>
      <c r="B76" s="106" t="s">
        <v>137</v>
      </c>
      <c r="C76" s="108" t="s">
        <v>85</v>
      </c>
      <c r="D76" s="108" t="s">
        <v>31</v>
      </c>
      <c r="E76" s="118"/>
      <c r="F76" s="119" t="str">
        <f t="shared" ca="1" si="5"/>
        <v/>
      </c>
      <c r="G76" s="111">
        <v>2.25</v>
      </c>
      <c r="H76" s="111">
        <v>3</v>
      </c>
      <c r="I76" s="112">
        <v>0.4</v>
      </c>
      <c r="J76" s="112" t="s">
        <v>173</v>
      </c>
      <c r="K76" s="121" t="str">
        <f t="shared" si="4"/>
        <v>LOW</v>
      </c>
      <c r="L76" s="114" t="b">
        <v>1</v>
      </c>
      <c r="M76" s="114" t="b">
        <v>0</v>
      </c>
      <c r="N76" s="122"/>
    </row>
    <row r="77" spans="1:14" x14ac:dyDescent="0.3">
      <c r="A77" s="123">
        <v>76</v>
      </c>
      <c r="B77" s="106" t="s">
        <v>115</v>
      </c>
      <c r="C77" s="108" t="s">
        <v>209</v>
      </c>
      <c r="D77" s="124" t="s">
        <v>16</v>
      </c>
      <c r="E77" s="118"/>
      <c r="F77" s="119" t="str">
        <f t="shared" ca="1" si="5"/>
        <v/>
      </c>
      <c r="G77" s="111">
        <v>2.25</v>
      </c>
      <c r="H77" s="111">
        <v>2</v>
      </c>
      <c r="I77" s="112">
        <v>0.2</v>
      </c>
      <c r="J77" s="112" t="s">
        <v>173</v>
      </c>
      <c r="K77" s="113" t="str">
        <f t="shared" si="4"/>
        <v>LOW</v>
      </c>
      <c r="L77" s="114" t="b">
        <v>1</v>
      </c>
      <c r="M77" s="114" t="b">
        <v>0</v>
      </c>
      <c r="N77" s="122" t="s">
        <v>210</v>
      </c>
    </row>
    <row r="78" spans="1:14" x14ac:dyDescent="0.3">
      <c r="A78" s="123">
        <v>77</v>
      </c>
      <c r="B78" s="106" t="s">
        <v>115</v>
      </c>
      <c r="C78" s="108" t="s">
        <v>74</v>
      </c>
      <c r="D78" s="108" t="s">
        <v>149</v>
      </c>
      <c r="E78" s="118"/>
      <c r="F78" s="119" t="str">
        <f t="shared" ca="1" si="5"/>
        <v/>
      </c>
      <c r="G78" s="111">
        <v>4</v>
      </c>
      <c r="H78" s="111">
        <v>5</v>
      </c>
      <c r="I78" s="112">
        <v>0.2</v>
      </c>
      <c r="J78" s="120" t="s">
        <v>173</v>
      </c>
      <c r="K78" s="121" t="str">
        <f t="shared" si="4"/>
        <v>LOW</v>
      </c>
      <c r="L78" s="114" t="b">
        <v>0</v>
      </c>
      <c r="M78" s="114" t="b">
        <v>0</v>
      </c>
      <c r="N78" s="122" t="s">
        <v>197</v>
      </c>
    </row>
    <row r="79" spans="1:14" x14ac:dyDescent="0.3">
      <c r="A79" s="123">
        <v>78</v>
      </c>
      <c r="B79" s="106" t="s">
        <v>115</v>
      </c>
      <c r="C79" s="108" t="s">
        <v>40</v>
      </c>
      <c r="D79" s="124" t="s">
        <v>39</v>
      </c>
      <c r="E79" s="118"/>
      <c r="F79" s="119" t="str">
        <f t="shared" ca="1" si="5"/>
        <v/>
      </c>
      <c r="G79" s="111">
        <v>4</v>
      </c>
      <c r="H79" s="111">
        <v>5</v>
      </c>
      <c r="I79" s="112">
        <v>0.2</v>
      </c>
      <c r="J79" s="120" t="s">
        <v>173</v>
      </c>
      <c r="K79" s="121" t="str">
        <f t="shared" si="4"/>
        <v>LOW</v>
      </c>
      <c r="L79" s="114" t="b">
        <v>0</v>
      </c>
      <c r="M79" s="114" t="b">
        <v>0</v>
      </c>
      <c r="N79" s="122" t="s">
        <v>211</v>
      </c>
    </row>
    <row r="80" spans="1:14" x14ac:dyDescent="0.3">
      <c r="A80" s="123">
        <v>79</v>
      </c>
      <c r="B80" s="106" t="s">
        <v>115</v>
      </c>
      <c r="C80" s="108" t="s">
        <v>47</v>
      </c>
      <c r="D80" s="108" t="s">
        <v>125</v>
      </c>
      <c r="E80" s="118"/>
      <c r="F80" s="119" t="str">
        <f t="shared" ca="1" si="5"/>
        <v/>
      </c>
      <c r="G80" s="111">
        <v>8</v>
      </c>
      <c r="H80" s="111">
        <v>6</v>
      </c>
      <c r="I80" s="112">
        <v>0.3</v>
      </c>
      <c r="J80" s="120" t="s">
        <v>173</v>
      </c>
      <c r="K80" s="121" t="str">
        <f t="shared" si="4"/>
        <v>LOW</v>
      </c>
      <c r="L80" s="114" t="b">
        <v>1</v>
      </c>
      <c r="M80" s="114" t="b">
        <v>0</v>
      </c>
      <c r="N80" s="122" t="s">
        <v>48</v>
      </c>
    </row>
    <row r="81" spans="1:14" x14ac:dyDescent="0.3">
      <c r="A81" s="123">
        <v>80</v>
      </c>
      <c r="B81" s="106" t="s">
        <v>115</v>
      </c>
      <c r="C81" s="108" t="s">
        <v>212</v>
      </c>
      <c r="D81" s="124" t="s">
        <v>2</v>
      </c>
      <c r="E81" s="118"/>
      <c r="F81" s="119" t="str">
        <f t="shared" ca="1" si="5"/>
        <v/>
      </c>
      <c r="G81" s="111">
        <v>4</v>
      </c>
      <c r="H81" s="111">
        <v>5</v>
      </c>
      <c r="I81" s="112">
        <v>0.2</v>
      </c>
      <c r="J81" s="120" t="s">
        <v>173</v>
      </c>
      <c r="K81" s="121" t="str">
        <f t="shared" si="4"/>
        <v>LOW</v>
      </c>
      <c r="L81" s="114" t="b">
        <v>0</v>
      </c>
      <c r="M81" s="114" t="b">
        <v>0</v>
      </c>
      <c r="N81" s="122" t="s">
        <v>53</v>
      </c>
    </row>
    <row r="82" spans="1:14" x14ac:dyDescent="0.3">
      <c r="A82" s="123">
        <v>81</v>
      </c>
      <c r="B82" s="106" t="s">
        <v>115</v>
      </c>
      <c r="C82" s="108" t="s">
        <v>62</v>
      </c>
      <c r="D82" s="124" t="s">
        <v>16</v>
      </c>
      <c r="E82" s="118"/>
      <c r="F82" s="119" t="str">
        <f t="shared" ca="1" si="5"/>
        <v/>
      </c>
      <c r="G82" s="111">
        <v>2.25</v>
      </c>
      <c r="H82" s="111">
        <v>2</v>
      </c>
      <c r="I82" s="112">
        <v>0.2</v>
      </c>
      <c r="J82" s="112" t="s">
        <v>173</v>
      </c>
      <c r="K82" s="113" t="str">
        <f t="shared" si="4"/>
        <v>LOW</v>
      </c>
      <c r="L82" s="114" t="b">
        <v>1</v>
      </c>
      <c r="M82" s="114" t="b">
        <v>0</v>
      </c>
      <c r="N82" s="122" t="s">
        <v>213</v>
      </c>
    </row>
    <row r="83" spans="1:14" x14ac:dyDescent="0.3">
      <c r="A83" s="123">
        <v>82</v>
      </c>
      <c r="B83" s="106" t="s">
        <v>115</v>
      </c>
      <c r="C83" s="108" t="s">
        <v>214</v>
      </c>
      <c r="D83" s="108" t="s">
        <v>41</v>
      </c>
      <c r="E83" s="118"/>
      <c r="F83" s="119" t="str">
        <f t="shared" ca="1" si="5"/>
        <v/>
      </c>
      <c r="G83" s="111">
        <v>4</v>
      </c>
      <c r="H83" s="111">
        <v>5</v>
      </c>
      <c r="I83" s="112">
        <v>0.2</v>
      </c>
      <c r="J83" s="120" t="s">
        <v>173</v>
      </c>
      <c r="K83" s="121" t="str">
        <f t="shared" si="4"/>
        <v>LOW</v>
      </c>
      <c r="L83" s="114" t="b">
        <v>0</v>
      </c>
      <c r="M83" s="114" t="b">
        <v>0</v>
      </c>
      <c r="N83" s="122" t="s">
        <v>215</v>
      </c>
    </row>
    <row r="84" spans="1:14" x14ac:dyDescent="0.3">
      <c r="A84" s="123">
        <v>83</v>
      </c>
      <c r="B84" s="106" t="s">
        <v>115</v>
      </c>
      <c r="C84" s="108" t="s">
        <v>67</v>
      </c>
      <c r="D84" s="124" t="s">
        <v>21</v>
      </c>
      <c r="E84" s="118"/>
      <c r="F84" s="119" t="str">
        <f t="shared" ca="1" si="5"/>
        <v/>
      </c>
      <c r="G84" s="111">
        <v>2.25</v>
      </c>
      <c r="H84" s="111">
        <v>2</v>
      </c>
      <c r="I84" s="112">
        <v>0.2</v>
      </c>
      <c r="J84" s="112" t="s">
        <v>173</v>
      </c>
      <c r="K84" s="113" t="str">
        <f t="shared" si="4"/>
        <v>LOW</v>
      </c>
      <c r="L84" s="114" t="b">
        <v>0</v>
      </c>
      <c r="M84" s="114" t="b">
        <v>0</v>
      </c>
      <c r="N84" s="122" t="s">
        <v>68</v>
      </c>
    </row>
    <row r="85" spans="1:14" x14ac:dyDescent="0.3">
      <c r="A85" s="123">
        <v>84</v>
      </c>
      <c r="B85" s="106" t="s">
        <v>115</v>
      </c>
      <c r="C85" s="108" t="s">
        <v>216</v>
      </c>
      <c r="D85" s="124" t="s">
        <v>2</v>
      </c>
      <c r="E85" s="118"/>
      <c r="F85" s="119" t="str">
        <f t="shared" ca="1" si="5"/>
        <v/>
      </c>
      <c r="G85" s="111">
        <v>4</v>
      </c>
      <c r="H85" s="111">
        <v>5</v>
      </c>
      <c r="I85" s="112">
        <v>0.2</v>
      </c>
      <c r="J85" s="120" t="s">
        <v>173</v>
      </c>
      <c r="K85" s="121" t="str">
        <f t="shared" si="4"/>
        <v>LOW</v>
      </c>
      <c r="L85" s="114" t="b">
        <v>0</v>
      </c>
      <c r="M85" s="114" t="b">
        <v>0</v>
      </c>
      <c r="N85" s="122" t="s">
        <v>95</v>
      </c>
    </row>
    <row r="86" spans="1:14" x14ac:dyDescent="0.3">
      <c r="A86" s="123">
        <v>85</v>
      </c>
      <c r="B86" s="106" t="s">
        <v>115</v>
      </c>
      <c r="C86" s="108" t="s">
        <v>98</v>
      </c>
      <c r="D86" s="124" t="s">
        <v>9</v>
      </c>
      <c r="E86" s="118"/>
      <c r="F86" s="119" t="str">
        <f t="shared" ca="1" si="5"/>
        <v/>
      </c>
      <c r="G86" s="111">
        <v>1</v>
      </c>
      <c r="H86" s="111">
        <v>1</v>
      </c>
      <c r="I86" s="112">
        <v>0.2</v>
      </c>
      <c r="J86" s="120" t="s">
        <v>173</v>
      </c>
      <c r="K86" s="121" t="str">
        <f t="shared" si="4"/>
        <v>LOW</v>
      </c>
      <c r="L86" s="114" t="b">
        <v>0</v>
      </c>
      <c r="M86" s="114" t="b">
        <v>0</v>
      </c>
      <c r="N86" s="122" t="s">
        <v>217</v>
      </c>
    </row>
    <row r="87" spans="1:14" x14ac:dyDescent="0.3">
      <c r="A87" s="123">
        <v>86</v>
      </c>
      <c r="B87" s="106" t="s">
        <v>127</v>
      </c>
      <c r="C87" s="108" t="s">
        <v>97</v>
      </c>
      <c r="D87" s="108" t="s">
        <v>20</v>
      </c>
      <c r="E87" s="118"/>
      <c r="F87" s="119" t="str">
        <f t="shared" ca="1" si="5"/>
        <v/>
      </c>
      <c r="G87" s="111">
        <v>6.75</v>
      </c>
      <c r="H87" s="111">
        <v>4</v>
      </c>
      <c r="I87" s="112">
        <v>0.2</v>
      </c>
      <c r="J87" s="120" t="s">
        <v>173</v>
      </c>
      <c r="K87" s="121" t="str">
        <f t="shared" si="4"/>
        <v>LOW</v>
      </c>
      <c r="L87" s="114" t="b">
        <v>1</v>
      </c>
      <c r="M87" s="114" t="b">
        <v>1</v>
      </c>
      <c r="N87" s="122" t="s">
        <v>218</v>
      </c>
    </row>
    <row r="88" spans="1:14" x14ac:dyDescent="0.3">
      <c r="A88" s="123">
        <v>87</v>
      </c>
      <c r="B88" s="106" t="s">
        <v>115</v>
      </c>
      <c r="C88" s="108" t="s">
        <v>100</v>
      </c>
      <c r="D88" s="108" t="s">
        <v>28</v>
      </c>
      <c r="E88" s="118"/>
      <c r="F88" s="119" t="str">
        <f t="shared" ca="1" si="5"/>
        <v/>
      </c>
      <c r="G88" s="111">
        <v>2.25</v>
      </c>
      <c r="H88" s="111">
        <v>2</v>
      </c>
      <c r="I88" s="112">
        <v>0.4</v>
      </c>
      <c r="J88" s="120" t="s">
        <v>173</v>
      </c>
      <c r="K88" s="121" t="str">
        <f t="shared" si="4"/>
        <v>LOW</v>
      </c>
      <c r="L88" s="114" t="b">
        <v>1</v>
      </c>
      <c r="M88" s="114" t="b">
        <v>0</v>
      </c>
      <c r="N88" s="122" t="s">
        <v>219</v>
      </c>
    </row>
    <row r="89" spans="1:14" x14ac:dyDescent="0.3">
      <c r="A89" s="123">
        <v>88</v>
      </c>
      <c r="B89" s="106" t="s">
        <v>115</v>
      </c>
      <c r="C89" s="108" t="s">
        <v>220</v>
      </c>
      <c r="D89" s="108" t="s">
        <v>149</v>
      </c>
      <c r="E89" s="118"/>
      <c r="F89" s="119" t="str">
        <f t="shared" ca="1" si="5"/>
        <v/>
      </c>
      <c r="G89" s="111">
        <v>2.25</v>
      </c>
      <c r="H89" s="111">
        <v>2</v>
      </c>
      <c r="I89" s="112">
        <v>0.2</v>
      </c>
      <c r="J89" s="120" t="s">
        <v>173</v>
      </c>
      <c r="K89" s="121" t="str">
        <f t="shared" si="4"/>
        <v>LOW</v>
      </c>
      <c r="L89" s="114" t="b">
        <v>1</v>
      </c>
      <c r="M89" s="114" t="b">
        <v>0</v>
      </c>
      <c r="N89" s="122" t="s">
        <v>221</v>
      </c>
    </row>
    <row r="90" spans="1:14" x14ac:dyDescent="0.3">
      <c r="A90" s="123">
        <v>89</v>
      </c>
      <c r="B90" s="106" t="s">
        <v>115</v>
      </c>
      <c r="C90" s="108" t="s">
        <v>10</v>
      </c>
      <c r="D90" s="108" t="s">
        <v>9</v>
      </c>
      <c r="E90" s="118"/>
      <c r="F90" s="119" t="str">
        <f t="shared" ca="1" si="5"/>
        <v/>
      </c>
      <c r="G90" s="111">
        <v>2.25</v>
      </c>
      <c r="H90" s="111">
        <v>2</v>
      </c>
      <c r="I90" s="112">
        <v>0.2</v>
      </c>
      <c r="J90" s="120" t="s">
        <v>173</v>
      </c>
      <c r="K90" s="121" t="str">
        <f t="shared" si="4"/>
        <v>LOW</v>
      </c>
      <c r="L90" s="114" t="b">
        <v>0</v>
      </c>
      <c r="M90" s="114" t="b">
        <v>0</v>
      </c>
      <c r="N90" s="122" t="s">
        <v>101</v>
      </c>
    </row>
    <row r="91" spans="1:14" x14ac:dyDescent="0.3">
      <c r="A91" s="123">
        <v>90</v>
      </c>
      <c r="B91" s="2" t="s">
        <v>115</v>
      </c>
      <c r="C91" s="108" t="s">
        <v>222</v>
      </c>
      <c r="D91" s="108" t="s">
        <v>223</v>
      </c>
      <c r="G91" s="2">
        <v>4.5</v>
      </c>
      <c r="H91" s="2">
        <v>4</v>
      </c>
      <c r="I91" s="2">
        <v>40</v>
      </c>
      <c r="J91" s="120" t="s">
        <v>173</v>
      </c>
      <c r="K91" s="121" t="str">
        <f t="shared" si="4"/>
        <v>LOW</v>
      </c>
      <c r="L91" s="114" t="b">
        <v>1</v>
      </c>
      <c r="M91" s="114" t="b">
        <v>1</v>
      </c>
      <c r="N91" s="1" t="s">
        <v>224</v>
      </c>
    </row>
    <row r="92" spans="1:14" x14ac:dyDescent="0.3">
      <c r="C92" s="108"/>
      <c r="D92" s="108"/>
    </row>
  </sheetData>
  <autoFilter ref="A1:N92" xr:uid="{9F230331-7B0B-447C-93A7-A454129BE070}">
    <sortState xmlns:xlrd2="http://schemas.microsoft.com/office/spreadsheetml/2017/richdata2" ref="A2:N92">
      <sortCondition ref="A1:A92"/>
    </sortState>
  </autoFilter>
  <conditionalFormatting sqref="K2:K90">
    <cfRule type="cellIs" dxfId="7" priority="5" operator="equal">
      <formula>"LOW"</formula>
    </cfRule>
    <cfRule type="cellIs" dxfId="6" priority="6" operator="equal">
      <formula>"MEDIUM"</formula>
    </cfRule>
    <cfRule type="cellIs" dxfId="5" priority="7" operator="equal">
      <formula>"HIGH"</formula>
    </cfRule>
    <cfRule type="cellIs" dxfId="4" priority="8" operator="equal">
      <formula>"HIGH"</formula>
    </cfRule>
  </conditionalFormatting>
  <conditionalFormatting sqref="K92">
    <cfRule type="cellIs" dxfId="3" priority="1" operator="equal">
      <formula>"LOW"</formula>
    </cfRule>
    <cfRule type="cellIs" dxfId="2" priority="2" operator="equal">
      <formula>"MEDIUM"</formula>
    </cfRule>
    <cfRule type="cellIs" dxfId="1" priority="3" operator="equal">
      <formula>"HIGH"</formula>
    </cfRule>
    <cfRule type="cellIs" dxfId="0" priority="4" operator="equal">
      <formula>"HIGH"</formula>
    </cfRule>
  </conditionalFormatting>
  <dataValidations count="6">
    <dataValidation type="list" allowBlank="1" showInputMessage="1" showErrorMessage="1" sqref="J2:J90 J92" xr:uid="{76576F17-2D24-4D66-BDD0-32BE60674D03}">
      <formula1>"0-6 Months, 6-12 Months, &gt;12 Months"</formula1>
    </dataValidation>
    <dataValidation allowBlank="1" showInputMessage="1" showErrorMessage="1" promptTitle="Auto Calculated Field" prompt="_x000a_" sqref="A2:A90" xr:uid="{B2C68510-FC9B-4DD7-A178-5F1873389F4C}"/>
    <dataValidation allowBlank="1" showErrorMessage="1" promptTitle="Auto-calculated field" prompt="This field is automatically calculated based on the first contact date" sqref="G2:H90" xr:uid="{6303073A-2D07-4963-8DDE-6EA23ACAF284}"/>
    <dataValidation allowBlank="1" showInputMessage="1" showErrorMessage="1" promptTitle="Auto-calculated field" prompt="This field is automatically calculated based on the first contact date" sqref="F2:F90" xr:uid="{28B8536A-818D-4346-AC80-8FA66B1E190D}"/>
    <dataValidation allowBlank="1" showInputMessage="1" showErrorMessage="1" promptTitle="Auto-Calculated Field" prompt="This field is automatically calculated based on the first contact date" sqref="K2:K90 K92" xr:uid="{122C47D1-583F-45F5-8EDE-3BAC5C7D2F7E}"/>
    <dataValidation type="list" allowBlank="1" showInputMessage="1" showErrorMessage="1" sqref="B2:B90" xr:uid="{067E6C6A-D910-437F-9080-A0E70FE6B6D5}">
      <formula1>"MM, HR, DP, PD, LS"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21FF-7AC0-4C08-A97A-AB55B6E199CC}">
  <dimension ref="A1:R496"/>
  <sheetViews>
    <sheetView tabSelected="1" workbookViewId="0">
      <selection activeCell="C1" sqref="C1:F1"/>
    </sheetView>
  </sheetViews>
  <sheetFormatPr defaultRowHeight="14.4" x14ac:dyDescent="0.3"/>
  <cols>
    <col min="1" max="1" width="23.6640625" bestFit="1" customWidth="1"/>
    <col min="2" max="2" width="32.6640625" bestFit="1" customWidth="1"/>
    <col min="3" max="3" width="15.5546875" style="64" bestFit="1" customWidth="1"/>
    <col min="4" max="4" width="15.109375" style="64" bestFit="1" customWidth="1"/>
    <col min="5" max="5" width="21.6640625" style="64" bestFit="1" customWidth="1"/>
    <col min="6" max="6" width="7.5546875" style="230" bestFit="1" customWidth="1"/>
    <col min="7" max="7" width="6.88671875" style="361" customWidth="1"/>
    <col min="8" max="8" width="14.6640625" style="67" bestFit="1" customWidth="1"/>
    <col min="9" max="9" width="18.21875" customWidth="1"/>
    <col min="10" max="10" width="21.77734375" customWidth="1"/>
    <col min="11" max="11" width="10.21875" style="340" bestFit="1" customWidth="1"/>
    <col min="12" max="12" width="14.6640625" customWidth="1"/>
    <col min="13" max="13" width="15.5546875" customWidth="1"/>
    <col min="14" max="14" width="20.21875" bestFit="1" customWidth="1"/>
    <col min="15" max="15" width="21.77734375" customWidth="1"/>
    <col min="16" max="16" width="17.33203125" customWidth="1"/>
    <col min="17" max="17" width="18.88671875" customWidth="1"/>
  </cols>
  <sheetData>
    <row r="1" spans="1:18" ht="64.8" customHeight="1" x14ac:dyDescent="0.3">
      <c r="C1" s="357" t="s">
        <v>419</v>
      </c>
      <c r="D1" s="357"/>
      <c r="E1" s="357"/>
      <c r="F1" s="357"/>
      <c r="H1" s="357" t="s">
        <v>420</v>
      </c>
      <c r="I1" s="357"/>
      <c r="J1" s="357"/>
      <c r="K1" s="357"/>
      <c r="L1" s="367" t="s">
        <v>422</v>
      </c>
      <c r="M1" s="367"/>
      <c r="N1" s="367"/>
      <c r="O1" s="359" t="s">
        <v>425</v>
      </c>
      <c r="P1" s="359"/>
      <c r="Q1" s="359"/>
      <c r="R1" s="5" t="s">
        <v>423</v>
      </c>
    </row>
    <row r="2" spans="1:18" x14ac:dyDescent="0.3">
      <c r="A2" s="4" t="s">
        <v>226</v>
      </c>
      <c r="B2" s="4" t="s">
        <v>227</v>
      </c>
      <c r="C2" s="364" t="s">
        <v>228</v>
      </c>
      <c r="D2" s="365"/>
      <c r="E2" s="365"/>
      <c r="F2" s="366"/>
      <c r="H2" s="336" t="s">
        <v>229</v>
      </c>
      <c r="I2" s="336"/>
      <c r="J2" s="336"/>
      <c r="K2" s="91"/>
      <c r="L2" s="336" t="s">
        <v>394</v>
      </c>
      <c r="M2" s="336"/>
      <c r="N2" s="336"/>
      <c r="O2" s="336" t="s">
        <v>421</v>
      </c>
      <c r="P2" s="336"/>
      <c r="Q2" s="339"/>
      <c r="R2" s="5"/>
    </row>
    <row r="3" spans="1:18" x14ac:dyDescent="0.3">
      <c r="A3" s="5"/>
      <c r="B3" s="5"/>
      <c r="C3" s="6"/>
      <c r="D3" s="6"/>
      <c r="E3" s="6"/>
      <c r="F3" s="199"/>
      <c r="H3" s="66"/>
      <c r="I3" s="5"/>
      <c r="J3" s="40"/>
      <c r="K3" s="91"/>
      <c r="L3" s="68"/>
      <c r="M3" s="5"/>
      <c r="N3" s="5"/>
      <c r="O3" s="68"/>
      <c r="P3" s="5"/>
      <c r="Q3" s="40"/>
      <c r="R3" s="5"/>
    </row>
    <row r="4" spans="1:18" x14ac:dyDescent="0.3">
      <c r="A4" s="5" t="s">
        <v>230</v>
      </c>
      <c r="B4" s="5" t="s">
        <v>231</v>
      </c>
      <c r="C4" s="6" t="s">
        <v>232</v>
      </c>
      <c r="D4" s="6" t="s">
        <v>233</v>
      </c>
      <c r="E4" s="6" t="s">
        <v>234</v>
      </c>
      <c r="F4" s="199" t="s">
        <v>396</v>
      </c>
      <c r="G4" s="8"/>
      <c r="H4" s="141" t="s">
        <v>232</v>
      </c>
      <c r="I4" s="6" t="s">
        <v>233</v>
      </c>
      <c r="J4" s="252" t="s">
        <v>234</v>
      </c>
      <c r="K4" s="6" t="s">
        <v>396</v>
      </c>
      <c r="L4" s="306" t="s">
        <v>232</v>
      </c>
      <c r="M4" s="6" t="s">
        <v>233</v>
      </c>
      <c r="N4" s="6" t="s">
        <v>234</v>
      </c>
      <c r="O4" s="306" t="s">
        <v>232</v>
      </c>
      <c r="P4" s="6" t="s">
        <v>233</v>
      </c>
      <c r="Q4" s="252" t="s">
        <v>234</v>
      </c>
      <c r="R4" s="5"/>
    </row>
    <row r="5" spans="1:18" x14ac:dyDescent="0.3">
      <c r="A5" s="4"/>
      <c r="B5" s="5"/>
      <c r="C5" s="6"/>
      <c r="D5" s="6"/>
      <c r="E5" s="6"/>
      <c r="F5" s="199"/>
      <c r="G5" s="8"/>
      <c r="H5" s="141"/>
      <c r="I5" s="6"/>
      <c r="J5" s="252"/>
      <c r="K5" s="92"/>
      <c r="L5" s="68"/>
      <c r="M5" s="5"/>
      <c r="N5" s="40"/>
      <c r="O5" s="5"/>
      <c r="P5" s="5"/>
      <c r="Q5" s="40"/>
      <c r="R5" s="5"/>
    </row>
    <row r="6" spans="1:18" x14ac:dyDescent="0.3">
      <c r="A6" s="5" t="s">
        <v>130</v>
      </c>
      <c r="B6" s="9" t="s">
        <v>235</v>
      </c>
      <c r="C6" s="10">
        <v>1</v>
      </c>
      <c r="D6" s="10">
        <v>1726106.76</v>
      </c>
      <c r="E6" s="10">
        <v>719320.55790000001</v>
      </c>
      <c r="F6" s="197">
        <f>+E6/D6</f>
        <v>0.41673005086892773</v>
      </c>
      <c r="G6" s="8"/>
      <c r="H6" s="142"/>
      <c r="I6" s="9"/>
      <c r="J6" s="253"/>
      <c r="K6" s="9"/>
      <c r="L6" s="68"/>
      <c r="M6" s="5"/>
      <c r="N6" s="40"/>
      <c r="O6" s="5"/>
      <c r="P6" s="5"/>
      <c r="Q6" s="40"/>
      <c r="R6" s="5"/>
    </row>
    <row r="7" spans="1:18" x14ac:dyDescent="0.3">
      <c r="A7" s="5" t="s">
        <v>130</v>
      </c>
      <c r="B7" s="9" t="s">
        <v>236</v>
      </c>
      <c r="C7" s="10">
        <v>2</v>
      </c>
      <c r="D7" s="10">
        <v>3511188.5085553676</v>
      </c>
      <c r="E7" s="10">
        <v>1081221.5271128719</v>
      </c>
      <c r="F7" s="197">
        <f t="shared" ref="F7:F37" si="0">+E7/D7</f>
        <v>0.30793605198876839</v>
      </c>
      <c r="G7" s="8"/>
      <c r="H7" s="142"/>
      <c r="I7" s="9"/>
      <c r="J7" s="253"/>
      <c r="K7" s="9"/>
      <c r="L7" s="68"/>
      <c r="M7" s="5"/>
      <c r="N7" s="40"/>
      <c r="O7" s="5"/>
      <c r="P7" s="5"/>
      <c r="Q7" s="40"/>
      <c r="R7" s="5"/>
    </row>
    <row r="8" spans="1:18" x14ac:dyDescent="0.3">
      <c r="A8" s="5" t="s">
        <v>130</v>
      </c>
      <c r="B8" s="9" t="s">
        <v>237</v>
      </c>
      <c r="C8" s="10">
        <v>9</v>
      </c>
      <c r="D8" s="10">
        <v>21608653.824000001</v>
      </c>
      <c r="E8" s="10">
        <v>7133882.9529599994</v>
      </c>
      <c r="F8" s="197">
        <f t="shared" si="0"/>
        <v>0.33014009160703184</v>
      </c>
      <c r="G8" s="8"/>
      <c r="H8" s="142"/>
      <c r="I8" s="9"/>
      <c r="J8" s="253"/>
      <c r="K8" s="9"/>
      <c r="L8" s="68"/>
      <c r="M8" s="5"/>
      <c r="N8" s="40"/>
      <c r="O8" s="5"/>
      <c r="P8" s="5"/>
      <c r="Q8" s="40"/>
      <c r="R8" s="5"/>
    </row>
    <row r="9" spans="1:18" x14ac:dyDescent="0.3">
      <c r="A9" s="5" t="s">
        <v>130</v>
      </c>
      <c r="B9" s="9" t="s">
        <v>238</v>
      </c>
      <c r="C9" s="10">
        <v>2.2000000000000002</v>
      </c>
      <c r="D9" s="10">
        <v>3478740.9598091571</v>
      </c>
      <c r="E9" s="10">
        <v>1110111.1532134514</v>
      </c>
      <c r="F9" s="197">
        <f t="shared" si="0"/>
        <v>0.31911291068776554</v>
      </c>
      <c r="G9" s="8"/>
      <c r="H9" s="142"/>
      <c r="I9" s="9"/>
      <c r="J9" s="253"/>
      <c r="K9" s="9"/>
      <c r="L9" s="68"/>
      <c r="M9" s="5"/>
      <c r="N9" s="40"/>
      <c r="O9" s="5"/>
      <c r="P9" s="5"/>
      <c r="Q9" s="40"/>
      <c r="R9" s="5"/>
    </row>
    <row r="10" spans="1:18" x14ac:dyDescent="0.3">
      <c r="A10" s="5" t="s">
        <v>130</v>
      </c>
      <c r="B10" s="9" t="s">
        <v>239</v>
      </c>
      <c r="C10" s="10">
        <v>4.5</v>
      </c>
      <c r="D10" s="10">
        <v>11354470.066800002</v>
      </c>
      <c r="E10" s="10">
        <v>5547522.9102969998</v>
      </c>
      <c r="F10" s="197">
        <f t="shared" si="0"/>
        <v>0.48857611827413472</v>
      </c>
      <c r="G10" s="8"/>
      <c r="H10" s="143"/>
      <c r="I10" s="10"/>
      <c r="J10" s="254"/>
      <c r="K10" s="9"/>
      <c r="L10" s="68"/>
      <c r="M10" s="5"/>
      <c r="N10" s="40"/>
      <c r="O10" s="5"/>
      <c r="P10" s="5"/>
      <c r="Q10" s="40"/>
      <c r="R10" s="5"/>
    </row>
    <row r="11" spans="1:18" x14ac:dyDescent="0.3">
      <c r="A11" s="5" t="s">
        <v>130</v>
      </c>
      <c r="B11" s="11" t="s">
        <v>240</v>
      </c>
      <c r="C11" s="12">
        <v>11.25</v>
      </c>
      <c r="D11" s="12">
        <v>15630324.903719999</v>
      </c>
      <c r="E11" s="12">
        <v>7767507.4333862998</v>
      </c>
      <c r="F11" s="198">
        <f t="shared" si="0"/>
        <v>0.49695111785793028</v>
      </c>
      <c r="G11" s="8"/>
      <c r="H11" s="144">
        <v>11.25</v>
      </c>
      <c r="I11" s="12">
        <v>14652893</v>
      </c>
      <c r="J11" s="255">
        <v>6763063</v>
      </c>
      <c r="K11" s="245">
        <f>+J11/I11</f>
        <v>0.46155138101397453</v>
      </c>
      <c r="L11" s="68"/>
      <c r="M11" s="5"/>
      <c r="N11" s="40"/>
      <c r="O11" s="144">
        <v>11.25</v>
      </c>
      <c r="P11" s="12">
        <v>14652893</v>
      </c>
      <c r="Q11" s="255">
        <v>6763063</v>
      </c>
      <c r="R11" s="369" t="b">
        <v>1</v>
      </c>
    </row>
    <row r="12" spans="1:18" x14ac:dyDescent="0.3">
      <c r="A12" s="5" t="s">
        <v>130</v>
      </c>
      <c r="B12" s="5"/>
      <c r="C12" s="6"/>
      <c r="D12" s="6"/>
      <c r="E12" s="6"/>
      <c r="F12" s="199"/>
      <c r="G12" s="8"/>
      <c r="H12" s="141"/>
      <c r="I12" s="6"/>
      <c r="J12" s="252"/>
      <c r="K12" s="92"/>
      <c r="L12" s="68"/>
      <c r="M12" s="5"/>
      <c r="N12" s="40"/>
      <c r="O12" s="5"/>
      <c r="P12" s="5"/>
      <c r="Q12" s="40"/>
      <c r="R12" s="5"/>
    </row>
    <row r="13" spans="1:18" x14ac:dyDescent="0.3">
      <c r="A13" s="4" t="s">
        <v>241</v>
      </c>
      <c r="B13" s="4"/>
      <c r="C13" s="13">
        <f>SUM(C6:C12)</f>
        <v>29.95</v>
      </c>
      <c r="D13" s="13">
        <f t="shared" ref="D13:K13" si="1">SUM(D6:D12)</f>
        <v>57309485.022884525</v>
      </c>
      <c r="E13" s="13">
        <f t="shared" si="1"/>
        <v>23359566.534869622</v>
      </c>
      <c r="F13" s="200">
        <f t="shared" si="0"/>
        <v>0.40760384647570647</v>
      </c>
      <c r="G13" s="14">
        <f t="shared" si="1"/>
        <v>0</v>
      </c>
      <c r="H13" s="145">
        <f>SUM(H6:H12)</f>
        <v>11.25</v>
      </c>
      <c r="I13" s="13">
        <f t="shared" si="1"/>
        <v>14652893</v>
      </c>
      <c r="J13" s="256">
        <f t="shared" si="1"/>
        <v>6763063</v>
      </c>
      <c r="K13" s="75">
        <f t="shared" si="1"/>
        <v>0.46155138101397453</v>
      </c>
      <c r="L13" s="307">
        <f>+H13-C13</f>
        <v>-18.7</v>
      </c>
      <c r="M13" s="98">
        <f t="shared" ref="M13" si="2">+I13-D13</f>
        <v>-42656592.022884525</v>
      </c>
      <c r="N13" s="300">
        <f t="shared" ref="N13" si="3">+J13-E13</f>
        <v>-16596503.534869622</v>
      </c>
      <c r="O13" s="5"/>
      <c r="P13" s="5"/>
      <c r="Q13" s="40"/>
      <c r="R13" s="5"/>
    </row>
    <row r="14" spans="1:18" x14ac:dyDescent="0.3">
      <c r="A14" s="5" t="s">
        <v>137</v>
      </c>
      <c r="B14" s="11" t="s">
        <v>242</v>
      </c>
      <c r="C14" s="12">
        <v>2.25</v>
      </c>
      <c r="D14" s="12">
        <v>4226374.6001999993</v>
      </c>
      <c r="E14" s="12">
        <v>1765227.9716954997</v>
      </c>
      <c r="F14" s="198">
        <f t="shared" si="0"/>
        <v>0.41766954865097999</v>
      </c>
      <c r="G14" s="8"/>
      <c r="H14" s="146">
        <v>4.5</v>
      </c>
      <c r="I14" s="12">
        <v>7896519</v>
      </c>
      <c r="J14" s="255">
        <v>3435540</v>
      </c>
      <c r="K14" s="245">
        <f t="shared" ref="K14:K16" si="4">+J14/I14</f>
        <v>0.43507018725592883</v>
      </c>
      <c r="L14" s="68"/>
      <c r="M14" s="5"/>
      <c r="N14" s="40"/>
      <c r="O14" s="360">
        <v>0</v>
      </c>
      <c r="P14" s="360">
        <v>0</v>
      </c>
      <c r="Q14" s="368">
        <v>0</v>
      </c>
      <c r="R14" s="370" t="s">
        <v>424</v>
      </c>
    </row>
    <row r="15" spans="1:18" x14ac:dyDescent="0.3">
      <c r="A15" s="5" t="s">
        <v>137</v>
      </c>
      <c r="B15" s="16" t="s">
        <v>243</v>
      </c>
      <c r="C15" s="17"/>
      <c r="D15" s="17"/>
      <c r="E15" s="17"/>
      <c r="F15" s="201"/>
      <c r="G15" s="8"/>
      <c r="H15" s="140">
        <v>2.1</v>
      </c>
      <c r="I15" s="17">
        <v>1736063</v>
      </c>
      <c r="J15" s="257">
        <v>569135</v>
      </c>
      <c r="K15" s="246">
        <f t="shared" si="4"/>
        <v>0.32783084484837244</v>
      </c>
      <c r="L15" s="68"/>
      <c r="M15" s="5"/>
      <c r="N15" s="40"/>
      <c r="O15" s="5"/>
      <c r="P15" s="5"/>
      <c r="Q15" s="40"/>
      <c r="R15" s="5"/>
    </row>
    <row r="16" spans="1:18" x14ac:dyDescent="0.3">
      <c r="A16" s="5" t="s">
        <v>137</v>
      </c>
      <c r="B16" s="16" t="s">
        <v>244</v>
      </c>
      <c r="C16" s="17"/>
      <c r="D16" s="17"/>
      <c r="E16" s="17"/>
      <c r="F16" s="201"/>
      <c r="G16" s="8"/>
      <c r="H16" s="140">
        <v>2.25</v>
      </c>
      <c r="I16" s="17">
        <v>2897492</v>
      </c>
      <c r="J16" s="257">
        <v>450322</v>
      </c>
      <c r="K16" s="246">
        <f t="shared" si="4"/>
        <v>0.15541785792678633</v>
      </c>
      <c r="L16" s="68"/>
      <c r="M16" s="5"/>
      <c r="N16" s="40"/>
      <c r="O16" s="5"/>
      <c r="P16" s="5"/>
      <c r="Q16" s="40"/>
      <c r="R16" s="5"/>
    </row>
    <row r="17" spans="1:18" x14ac:dyDescent="0.3">
      <c r="A17" s="4" t="s">
        <v>245</v>
      </c>
      <c r="B17" s="4"/>
      <c r="C17" s="13">
        <f>SUM(C14:C16)</f>
        <v>2.25</v>
      </c>
      <c r="D17" s="13">
        <f t="shared" ref="D17:E17" si="5">SUM(D14:D16)</f>
        <v>4226374.6001999993</v>
      </c>
      <c r="E17" s="13">
        <f t="shared" si="5"/>
        <v>1765227.9716954997</v>
      </c>
      <c r="F17" s="200">
        <f t="shared" si="0"/>
        <v>0.41766954865097999</v>
      </c>
      <c r="G17" s="14">
        <f t="shared" ref="G17:K17" si="6">SUM(G14:G15)</f>
        <v>0</v>
      </c>
      <c r="H17" s="145">
        <f>SUM(H14:H16)</f>
        <v>8.85</v>
      </c>
      <c r="I17" s="15">
        <f t="shared" ref="I17:J17" si="7">SUM(I14:I16)</f>
        <v>12530074</v>
      </c>
      <c r="J17" s="258">
        <f t="shared" si="7"/>
        <v>4454997</v>
      </c>
      <c r="K17" s="75">
        <f t="shared" si="6"/>
        <v>0.76290103210430127</v>
      </c>
      <c r="L17" s="307">
        <f>+H17-C17</f>
        <v>6.6</v>
      </c>
      <c r="M17" s="98">
        <f t="shared" ref="M17" si="8">+I17-D17</f>
        <v>8303699.3998000007</v>
      </c>
      <c r="N17" s="300">
        <f t="shared" ref="N17" si="9">+J17-E17</f>
        <v>2689769.0283045005</v>
      </c>
      <c r="O17" s="5"/>
      <c r="P17" s="5"/>
      <c r="Q17" s="40"/>
      <c r="R17" s="5"/>
    </row>
    <row r="18" spans="1:18" x14ac:dyDescent="0.3">
      <c r="A18" s="5" t="s">
        <v>115</v>
      </c>
      <c r="B18" s="9" t="s">
        <v>55</v>
      </c>
      <c r="C18" s="10">
        <v>1</v>
      </c>
      <c r="D18" s="10">
        <v>2209518</v>
      </c>
      <c r="E18" s="10">
        <v>1028923.8450000001</v>
      </c>
      <c r="F18" s="197">
        <f t="shared" si="0"/>
        <v>0.46567796460585525</v>
      </c>
      <c r="G18" s="8"/>
      <c r="H18" s="147"/>
      <c r="I18" s="18"/>
      <c r="J18" s="259"/>
      <c r="K18" s="9"/>
      <c r="L18" s="68"/>
      <c r="M18" s="5"/>
      <c r="N18" s="40"/>
      <c r="O18" s="5"/>
      <c r="P18" s="5"/>
      <c r="Q18" s="40"/>
      <c r="R18" s="5"/>
    </row>
    <row r="19" spans="1:18" x14ac:dyDescent="0.3">
      <c r="A19" s="5" t="s">
        <v>115</v>
      </c>
      <c r="B19" s="9" t="s">
        <v>246</v>
      </c>
      <c r="C19" s="10">
        <v>1</v>
      </c>
      <c r="D19" s="10">
        <v>2411249.85</v>
      </c>
      <c r="E19" s="10">
        <v>830538.02837500011</v>
      </c>
      <c r="F19" s="197">
        <f t="shared" si="0"/>
        <v>0.34444295698971222</v>
      </c>
      <c r="G19" s="8"/>
      <c r="H19" s="147"/>
      <c r="I19" s="18"/>
      <c r="J19" s="259"/>
      <c r="K19" s="9"/>
      <c r="L19" s="68"/>
      <c r="M19" s="5"/>
      <c r="N19" s="40"/>
      <c r="O19" s="5"/>
      <c r="P19" s="5"/>
      <c r="Q19" s="40"/>
      <c r="R19" s="5"/>
    </row>
    <row r="20" spans="1:18" x14ac:dyDescent="0.3">
      <c r="A20" s="5" t="s">
        <v>115</v>
      </c>
      <c r="B20" s="9" t="s">
        <v>247</v>
      </c>
      <c r="C20" s="10">
        <v>1</v>
      </c>
      <c r="D20" s="10">
        <v>1362611.2409999999</v>
      </c>
      <c r="E20" s="10">
        <v>494669.04807749996</v>
      </c>
      <c r="F20" s="197">
        <f t="shared" si="0"/>
        <v>0.36303021228158205</v>
      </c>
      <c r="G20" s="8"/>
      <c r="H20" s="147"/>
      <c r="I20" s="10"/>
      <c r="J20" s="254"/>
      <c r="K20" s="9"/>
      <c r="L20" s="68"/>
      <c r="M20" s="5"/>
      <c r="N20" s="40"/>
      <c r="O20" s="5"/>
      <c r="P20" s="5"/>
      <c r="Q20" s="40"/>
      <c r="R20" s="5"/>
    </row>
    <row r="21" spans="1:18" x14ac:dyDescent="0.3">
      <c r="A21" s="5" t="s">
        <v>115</v>
      </c>
      <c r="B21" s="16" t="s">
        <v>248</v>
      </c>
      <c r="C21" s="17"/>
      <c r="D21" s="17"/>
      <c r="E21" s="17"/>
      <c r="F21" s="201"/>
      <c r="G21" s="8"/>
      <c r="H21" s="148">
        <v>0.02</v>
      </c>
      <c r="I21" s="17">
        <v>1361923</v>
      </c>
      <c r="J21" s="257">
        <v>641107</v>
      </c>
      <c r="K21" s="246">
        <f>+J21/I21</f>
        <v>0.47073659817772373</v>
      </c>
      <c r="L21" s="68"/>
      <c r="M21" s="5"/>
      <c r="N21" s="40"/>
      <c r="O21" s="5"/>
      <c r="P21" s="5"/>
      <c r="Q21" s="40"/>
      <c r="R21" s="5"/>
    </row>
    <row r="22" spans="1:18" x14ac:dyDescent="0.3">
      <c r="A22" s="4" t="s">
        <v>249</v>
      </c>
      <c r="B22" s="4"/>
      <c r="C22" s="13">
        <f t="shared" ref="C22:K22" si="10">SUM(C18:C21)</f>
        <v>3</v>
      </c>
      <c r="D22" s="13">
        <f t="shared" si="10"/>
        <v>5983379.091</v>
      </c>
      <c r="E22" s="13">
        <f t="shared" si="10"/>
        <v>2354130.9214524999</v>
      </c>
      <c r="F22" s="200">
        <f t="shared" si="0"/>
        <v>0.39344505598742779</v>
      </c>
      <c r="G22" s="14">
        <f t="shared" si="10"/>
        <v>0</v>
      </c>
      <c r="H22" s="149">
        <f>SUM(H18:H21)</f>
        <v>0.02</v>
      </c>
      <c r="I22" s="13">
        <f t="shared" si="10"/>
        <v>1361923</v>
      </c>
      <c r="J22" s="256">
        <f t="shared" si="10"/>
        <v>641107</v>
      </c>
      <c r="K22" s="75">
        <f t="shared" si="10"/>
        <v>0.47073659817772373</v>
      </c>
      <c r="L22" s="307">
        <f>+H22-C22</f>
        <v>-2.98</v>
      </c>
      <c r="M22" s="98">
        <f t="shared" ref="M22" si="11">+I22-D22</f>
        <v>-4621456.091</v>
      </c>
      <c r="N22" s="300">
        <f t="shared" ref="N22" si="12">+J22-E22</f>
        <v>-1713023.9214524999</v>
      </c>
      <c r="O22" s="5"/>
      <c r="P22" s="5"/>
      <c r="Q22" s="40"/>
      <c r="R22" s="5"/>
    </row>
    <row r="23" spans="1:18" x14ac:dyDescent="0.3">
      <c r="A23" s="4"/>
      <c r="B23" s="4"/>
      <c r="C23" s="13"/>
      <c r="D23" s="13"/>
      <c r="E23" s="13"/>
      <c r="F23" s="200"/>
      <c r="G23" s="14"/>
      <c r="H23" s="145"/>
      <c r="I23" s="13"/>
      <c r="J23" s="256"/>
      <c r="K23" s="75"/>
      <c r="L23" s="68"/>
      <c r="M23" s="5"/>
      <c r="N23" s="40"/>
      <c r="O23" s="5"/>
      <c r="P23" s="5"/>
      <c r="Q23" s="40"/>
      <c r="R23" s="5"/>
    </row>
    <row r="24" spans="1:18" x14ac:dyDescent="0.3">
      <c r="A24" s="5" t="s">
        <v>127</v>
      </c>
      <c r="B24" s="11" t="s">
        <v>250</v>
      </c>
      <c r="C24" s="19">
        <v>0.1</v>
      </c>
      <c r="D24" s="19">
        <v>69340.86</v>
      </c>
      <c r="E24" s="19">
        <v>41896.050650000005</v>
      </c>
      <c r="F24" s="202">
        <f t="shared" si="0"/>
        <v>0.60420437026595875</v>
      </c>
      <c r="G24" s="8"/>
      <c r="H24" s="146">
        <v>0.1</v>
      </c>
      <c r="I24" s="12">
        <v>241660</v>
      </c>
      <c r="J24" s="255">
        <v>119876</v>
      </c>
      <c r="K24" s="245">
        <f>+J24/I24</f>
        <v>0.49605230489116942</v>
      </c>
      <c r="L24" s="68"/>
      <c r="M24" s="5"/>
      <c r="N24" s="40"/>
      <c r="O24" s="5"/>
      <c r="P24" s="5"/>
      <c r="Q24" s="40"/>
      <c r="R24" s="5"/>
    </row>
    <row r="25" spans="1:18" x14ac:dyDescent="0.3">
      <c r="A25" s="5" t="s">
        <v>127</v>
      </c>
      <c r="B25" s="9" t="s">
        <v>251</v>
      </c>
      <c r="C25" s="20">
        <v>0.12</v>
      </c>
      <c r="D25" s="20">
        <v>372600</v>
      </c>
      <c r="E25" s="20">
        <v>182116.5</v>
      </c>
      <c r="F25" s="203">
        <f t="shared" si="0"/>
        <v>0.48877214170692429</v>
      </c>
      <c r="G25" s="8"/>
      <c r="H25" s="147"/>
      <c r="I25" s="10"/>
      <c r="J25" s="254"/>
      <c r="K25" s="9"/>
      <c r="L25" s="68"/>
      <c r="M25" s="5"/>
      <c r="N25" s="40"/>
      <c r="O25" s="5"/>
      <c r="P25" s="5"/>
      <c r="Q25" s="40"/>
      <c r="R25" s="5"/>
    </row>
    <row r="26" spans="1:18" x14ac:dyDescent="0.3">
      <c r="A26" s="5" t="s">
        <v>127</v>
      </c>
      <c r="B26" s="11" t="s">
        <v>252</v>
      </c>
      <c r="C26" s="19">
        <v>0.88</v>
      </c>
      <c r="D26" s="19">
        <v>1392499.3499999999</v>
      </c>
      <c r="E26" s="19">
        <v>601994.25</v>
      </c>
      <c r="F26" s="202">
        <f t="shared" si="0"/>
        <v>0.43231205098946729</v>
      </c>
      <c r="G26" s="8"/>
      <c r="H26" s="146">
        <v>4.5</v>
      </c>
      <c r="I26" s="12">
        <v>8604475</v>
      </c>
      <c r="J26" s="255">
        <v>3509379</v>
      </c>
      <c r="K26" s="245">
        <f t="shared" ref="K26:K27" si="13">+J26/I26</f>
        <v>0.40785509865506031</v>
      </c>
      <c r="L26" s="68"/>
      <c r="M26" s="5"/>
      <c r="N26" s="40"/>
      <c r="O26" s="16">
        <f>+R26</f>
        <v>2.25</v>
      </c>
      <c r="P26" s="17">
        <f>(R26/H26)*I26</f>
        <v>4302237.5</v>
      </c>
      <c r="Q26" s="257">
        <f>(R26/H26)*J26</f>
        <v>1754689.5</v>
      </c>
      <c r="R26" s="16">
        <v>2.25</v>
      </c>
    </row>
    <row r="27" spans="1:18" x14ac:dyDescent="0.3">
      <c r="A27" s="5" t="s">
        <v>127</v>
      </c>
      <c r="B27" s="11" t="s">
        <v>253</v>
      </c>
      <c r="C27" s="19">
        <v>2.25</v>
      </c>
      <c r="D27" s="19">
        <v>5798798.0302804662</v>
      </c>
      <c r="E27" s="19">
        <v>2327436.274599154</v>
      </c>
      <c r="F27" s="202">
        <f t="shared" si="0"/>
        <v>0.40136529371183921</v>
      </c>
      <c r="G27" s="8"/>
      <c r="H27" s="146">
        <v>1.5</v>
      </c>
      <c r="I27" s="12">
        <v>3654435</v>
      </c>
      <c r="J27" s="255">
        <v>1652176</v>
      </c>
      <c r="K27" s="245">
        <f t="shared" si="13"/>
        <v>0.45210162446452051</v>
      </c>
      <c r="L27" s="68"/>
      <c r="M27" s="5"/>
      <c r="N27" s="40"/>
      <c r="O27" s="5"/>
      <c r="P27" s="5"/>
      <c r="Q27" s="5"/>
    </row>
    <row r="28" spans="1:18" x14ac:dyDescent="0.3">
      <c r="A28" s="5" t="s">
        <v>127</v>
      </c>
      <c r="B28" s="9" t="s">
        <v>254</v>
      </c>
      <c r="C28" s="20">
        <v>2.25</v>
      </c>
      <c r="D28" s="20">
        <v>7455376.9979999997</v>
      </c>
      <c r="E28" s="20">
        <v>2503138.5355449999</v>
      </c>
      <c r="F28" s="203">
        <f t="shared" si="0"/>
        <v>0.33574942437069227</v>
      </c>
      <c r="G28" s="8"/>
      <c r="H28" s="147"/>
      <c r="I28" s="10"/>
      <c r="J28" s="254"/>
      <c r="K28" s="9"/>
      <c r="L28" s="68"/>
      <c r="M28" s="5"/>
      <c r="N28" s="40"/>
      <c r="O28" s="5"/>
      <c r="P28" s="5"/>
      <c r="Q28" s="5"/>
    </row>
    <row r="29" spans="1:18" x14ac:dyDescent="0.3">
      <c r="A29" s="5" t="s">
        <v>127</v>
      </c>
      <c r="B29" s="11" t="s">
        <v>255</v>
      </c>
      <c r="C29" s="19">
        <v>0.15</v>
      </c>
      <c r="D29" s="19">
        <v>472534.4250000001</v>
      </c>
      <c r="E29" s="19">
        <v>281225.51043750008</v>
      </c>
      <c r="F29" s="202">
        <f t="shared" si="0"/>
        <v>0.59514290506453582</v>
      </c>
      <c r="G29" s="8"/>
      <c r="H29" s="146">
        <v>0.2</v>
      </c>
      <c r="I29" s="12">
        <v>355098</v>
      </c>
      <c r="J29" s="255">
        <v>205894</v>
      </c>
      <c r="K29" s="245">
        <f>+J29/I29</f>
        <v>0.5798230347678669</v>
      </c>
      <c r="L29" s="68"/>
      <c r="M29" s="5"/>
      <c r="N29" s="40"/>
      <c r="O29" s="5"/>
      <c r="P29" s="5"/>
      <c r="Q29" s="5"/>
    </row>
    <row r="30" spans="1:18" x14ac:dyDescent="0.3">
      <c r="A30" s="5" t="s">
        <v>127</v>
      </c>
      <c r="B30" s="9" t="s">
        <v>256</v>
      </c>
      <c r="C30" s="20">
        <v>2.25</v>
      </c>
      <c r="D30" s="20">
        <v>6202470.375</v>
      </c>
      <c r="E30" s="20">
        <v>2798344.0415624999</v>
      </c>
      <c r="F30" s="203">
        <f t="shared" si="0"/>
        <v>0.45116604713529163</v>
      </c>
      <c r="G30" s="8"/>
      <c r="H30" s="147"/>
      <c r="I30" s="10"/>
      <c r="J30" s="254"/>
      <c r="K30" s="9"/>
      <c r="L30" s="68"/>
      <c r="M30" s="5"/>
      <c r="N30" s="40"/>
      <c r="O30" s="5"/>
      <c r="P30" s="5"/>
      <c r="Q30" s="5"/>
    </row>
    <row r="31" spans="1:18" x14ac:dyDescent="0.3">
      <c r="A31" s="5" t="s">
        <v>127</v>
      </c>
      <c r="B31" s="9" t="s">
        <v>257</v>
      </c>
      <c r="C31" s="20">
        <v>0.1</v>
      </c>
      <c r="D31" s="20">
        <v>135067.5</v>
      </c>
      <c r="E31" s="20">
        <v>69678.641250000001</v>
      </c>
      <c r="F31" s="203">
        <f t="shared" si="0"/>
        <v>0.51588014326170251</v>
      </c>
      <c r="G31" s="8"/>
      <c r="H31" s="147"/>
      <c r="I31" s="10"/>
      <c r="J31" s="254"/>
      <c r="K31" s="9"/>
      <c r="L31" s="68"/>
      <c r="M31" s="5"/>
      <c r="N31" s="40"/>
      <c r="O31" s="5"/>
      <c r="P31" s="5"/>
      <c r="Q31" s="5"/>
    </row>
    <row r="32" spans="1:18" x14ac:dyDescent="0.3">
      <c r="A32" s="5" t="s">
        <v>127</v>
      </c>
      <c r="B32" s="9" t="s">
        <v>258</v>
      </c>
      <c r="C32" s="20">
        <v>1</v>
      </c>
      <c r="D32" s="20">
        <v>2095025.4426046582</v>
      </c>
      <c r="E32" s="20">
        <v>768191.03014605341</v>
      </c>
      <c r="F32" s="203">
        <f t="shared" si="0"/>
        <v>0.36667384296345029</v>
      </c>
      <c r="G32" s="8"/>
      <c r="H32" s="147"/>
      <c r="I32" s="10"/>
      <c r="J32" s="254"/>
      <c r="K32" s="9"/>
      <c r="L32" s="68"/>
      <c r="M32" s="5"/>
      <c r="N32" s="40"/>
      <c r="O32" s="5"/>
      <c r="P32" s="5"/>
      <c r="Q32" s="5"/>
    </row>
    <row r="33" spans="1:17" x14ac:dyDescent="0.3">
      <c r="A33" s="4" t="s">
        <v>259</v>
      </c>
      <c r="B33" s="4"/>
      <c r="C33" s="13">
        <f>SUM(C24:C32)</f>
        <v>9.1</v>
      </c>
      <c r="D33" s="13">
        <f>SUM(D24:D32)</f>
        <v>23993712.980885122</v>
      </c>
      <c r="E33" s="13">
        <f>SUM(E24:E32)</f>
        <v>9574020.8341902066</v>
      </c>
      <c r="F33" s="200">
        <f t="shared" si="0"/>
        <v>0.39902206223011272</v>
      </c>
      <c r="G33" s="14">
        <f>SUM(G24:G32)</f>
        <v>0</v>
      </c>
      <c r="H33" s="145">
        <f>SUM(H24:H32)</f>
        <v>6.3</v>
      </c>
      <c r="I33" s="13">
        <f>SUM(I24:I32)</f>
        <v>12855668</v>
      </c>
      <c r="J33" s="256">
        <f>SUM(J24:J32)</f>
        <v>5487325</v>
      </c>
      <c r="K33" s="92">
        <f>+J33/I33</f>
        <v>0.42684090783925038</v>
      </c>
      <c r="L33" s="307">
        <f>+H33-C33</f>
        <v>-2.8</v>
      </c>
      <c r="M33" s="98">
        <f t="shared" ref="M33" si="14">+I33-D33</f>
        <v>-11138044.980885122</v>
      </c>
      <c r="N33" s="300">
        <f t="shared" ref="N33" si="15">+J33-E33</f>
        <v>-4086695.8341902066</v>
      </c>
      <c r="O33" s="5"/>
      <c r="P33" s="5"/>
      <c r="Q33" s="5"/>
    </row>
    <row r="34" spans="1:17" x14ac:dyDescent="0.3">
      <c r="A34" s="4"/>
      <c r="B34" s="4"/>
      <c r="C34" s="13"/>
      <c r="D34" s="13"/>
      <c r="E34" s="13"/>
      <c r="F34" s="200"/>
      <c r="G34" s="14">
        <f t="shared" ref="G34:G37" si="16">SUM(G25:G33)</f>
        <v>0</v>
      </c>
      <c r="H34" s="141"/>
      <c r="I34" s="6"/>
      <c r="J34" s="252"/>
      <c r="K34" s="92"/>
      <c r="L34" s="68"/>
      <c r="M34" s="5"/>
      <c r="N34" s="40"/>
      <c r="O34" s="5"/>
      <c r="P34" s="5"/>
      <c r="Q34" s="5"/>
    </row>
    <row r="35" spans="1:17" x14ac:dyDescent="0.3">
      <c r="A35" s="4" t="s">
        <v>260</v>
      </c>
      <c r="B35" s="4"/>
      <c r="C35" s="13">
        <f>+C33</f>
        <v>9.1</v>
      </c>
      <c r="D35" s="13">
        <f t="shared" ref="D35:J35" si="17">+D33</f>
        <v>23993712.980885122</v>
      </c>
      <c r="E35" s="13">
        <f t="shared" si="17"/>
        <v>9574020.8341902066</v>
      </c>
      <c r="F35" s="200">
        <f t="shared" si="0"/>
        <v>0.39902206223011272</v>
      </c>
      <c r="G35" s="14">
        <f t="shared" si="16"/>
        <v>0</v>
      </c>
      <c r="H35" s="150">
        <f t="shared" si="17"/>
        <v>6.3</v>
      </c>
      <c r="I35" s="13">
        <f t="shared" si="17"/>
        <v>12855668</v>
      </c>
      <c r="J35" s="256">
        <f t="shared" si="17"/>
        <v>5487325</v>
      </c>
      <c r="K35" s="75">
        <f>+K33+K23</f>
        <v>0.42684090783925038</v>
      </c>
      <c r="L35" s="307">
        <f>+H35-C35</f>
        <v>-2.8</v>
      </c>
      <c r="M35" s="98">
        <f>+I35-D35</f>
        <v>-11138044.980885122</v>
      </c>
      <c r="N35" s="300">
        <f>+J35-E35</f>
        <v>-4086695.8341902066</v>
      </c>
      <c r="O35" s="5"/>
      <c r="P35" s="5"/>
      <c r="Q35" s="5"/>
    </row>
    <row r="36" spans="1:17" x14ac:dyDescent="0.3">
      <c r="A36" s="4" t="s">
        <v>261</v>
      </c>
      <c r="B36" s="4"/>
      <c r="C36" s="13">
        <f>+C22+C17+C13</f>
        <v>35.200000000000003</v>
      </c>
      <c r="D36" s="13">
        <f t="shared" ref="D36:J36" si="18">+D22+D17+D13</f>
        <v>67519238.714084521</v>
      </c>
      <c r="E36" s="13">
        <f t="shared" si="18"/>
        <v>27478925.428017624</v>
      </c>
      <c r="F36" s="200">
        <f t="shared" si="0"/>
        <v>0.4069791951354676</v>
      </c>
      <c r="G36" s="14">
        <f t="shared" si="16"/>
        <v>0</v>
      </c>
      <c r="H36" s="145">
        <f t="shared" si="18"/>
        <v>20.119999999999997</v>
      </c>
      <c r="I36" s="13">
        <f t="shared" si="18"/>
        <v>28544890</v>
      </c>
      <c r="J36" s="256">
        <f t="shared" si="18"/>
        <v>11859167</v>
      </c>
      <c r="K36" s="92">
        <f>+J36/I36</f>
        <v>0.41545674199480187</v>
      </c>
      <c r="L36" s="307">
        <f t="shared" ref="L36:L37" si="19">+H36-C36</f>
        <v>-15.080000000000005</v>
      </c>
      <c r="M36" s="98">
        <f>+I36-D36</f>
        <v>-38974348.714084521</v>
      </c>
      <c r="N36" s="300">
        <f>+J36-E36</f>
        <v>-15619758.428017624</v>
      </c>
      <c r="O36" s="5"/>
      <c r="P36" s="5"/>
      <c r="Q36" s="5"/>
    </row>
    <row r="37" spans="1:17" x14ac:dyDescent="0.3">
      <c r="A37" s="4" t="s">
        <v>262</v>
      </c>
      <c r="B37" s="4"/>
      <c r="C37" s="13">
        <f>+C35+C36</f>
        <v>44.300000000000004</v>
      </c>
      <c r="D37" s="13">
        <f t="shared" ref="D37:J37" si="20">+D35+D36</f>
        <v>91512951.694969639</v>
      </c>
      <c r="E37" s="13">
        <f t="shared" si="20"/>
        <v>37052946.262207828</v>
      </c>
      <c r="F37" s="200">
        <f t="shared" si="0"/>
        <v>0.40489292035637164</v>
      </c>
      <c r="G37" s="14">
        <f t="shared" si="16"/>
        <v>0</v>
      </c>
      <c r="H37" s="145">
        <f t="shared" si="20"/>
        <v>26.419999999999998</v>
      </c>
      <c r="I37" s="13">
        <f t="shared" si="20"/>
        <v>41400558</v>
      </c>
      <c r="J37" s="256">
        <f t="shared" si="20"/>
        <v>17346492</v>
      </c>
      <c r="K37" s="92">
        <f>+J37/I37</f>
        <v>0.41899174402431966</v>
      </c>
      <c r="L37" s="307">
        <f t="shared" si="19"/>
        <v>-17.880000000000006</v>
      </c>
      <c r="M37" s="98">
        <f>+I37-D37</f>
        <v>-50112393.694969639</v>
      </c>
      <c r="N37" s="300">
        <f>+J37-E37</f>
        <v>-19706454.262207828</v>
      </c>
      <c r="O37" s="5"/>
      <c r="P37" s="5"/>
      <c r="Q37" s="5"/>
    </row>
    <row r="38" spans="1:17" x14ac:dyDescent="0.3">
      <c r="A38" s="3"/>
      <c r="B38" s="3"/>
      <c r="C38" s="23"/>
      <c r="D38" s="23"/>
      <c r="E38" s="23"/>
      <c r="F38" s="204"/>
      <c r="G38" s="362"/>
      <c r="H38" s="151"/>
      <c r="I38" s="3"/>
      <c r="J38" s="3"/>
      <c r="K38" s="3"/>
      <c r="L38" s="3"/>
      <c r="M38" s="3"/>
      <c r="N38" s="3"/>
      <c r="O38" s="5"/>
      <c r="P38" s="5"/>
      <c r="Q38" s="5"/>
    </row>
    <row r="39" spans="1:17" x14ac:dyDescent="0.3">
      <c r="A39" s="3"/>
      <c r="B39" s="3"/>
      <c r="C39" s="23"/>
      <c r="D39" s="23"/>
      <c r="E39" s="23"/>
      <c r="F39" s="204"/>
      <c r="G39" s="362"/>
      <c r="H39" s="151"/>
      <c r="I39" s="3"/>
      <c r="J39" s="3"/>
      <c r="K39" s="3"/>
      <c r="L39" s="3"/>
      <c r="M39" s="3"/>
      <c r="N39" s="3"/>
      <c r="O39" s="5"/>
      <c r="P39" s="5"/>
      <c r="Q39" s="5"/>
    </row>
    <row r="40" spans="1:17" x14ac:dyDescent="0.3">
      <c r="A40" s="4" t="s">
        <v>226</v>
      </c>
      <c r="B40" s="4" t="s">
        <v>263</v>
      </c>
      <c r="C40" s="338" t="s">
        <v>228</v>
      </c>
      <c r="D40" s="338"/>
      <c r="E40" s="338"/>
      <c r="F40" s="338"/>
      <c r="G40" s="338"/>
      <c r="H40" s="336" t="s">
        <v>229</v>
      </c>
      <c r="I40" s="336"/>
      <c r="J40" s="336"/>
      <c r="K40" s="91"/>
      <c r="L40" s="337" t="s">
        <v>394</v>
      </c>
      <c r="M40" s="337"/>
      <c r="N40" s="337"/>
      <c r="O40" s="5"/>
      <c r="P40" s="5"/>
      <c r="Q40" s="5"/>
    </row>
    <row r="41" spans="1:17" x14ac:dyDescent="0.3">
      <c r="A41" s="4"/>
      <c r="B41" s="4"/>
      <c r="C41" s="6"/>
      <c r="D41" s="6"/>
      <c r="E41" s="6"/>
      <c r="F41" s="199"/>
      <c r="G41" s="7"/>
      <c r="H41" s="66"/>
      <c r="I41" s="5"/>
      <c r="J41" s="40"/>
      <c r="K41" s="91"/>
      <c r="L41" s="68"/>
      <c r="M41" s="5"/>
      <c r="N41" s="40"/>
      <c r="O41" s="5"/>
      <c r="P41" s="5"/>
      <c r="Q41" s="5"/>
    </row>
    <row r="42" spans="1:17" x14ac:dyDescent="0.3">
      <c r="A42" s="5" t="s">
        <v>230</v>
      </c>
      <c r="B42" s="5" t="s">
        <v>231</v>
      </c>
      <c r="C42" s="6" t="s">
        <v>232</v>
      </c>
      <c r="D42" s="6" t="s">
        <v>233</v>
      </c>
      <c r="E42" s="6" t="s">
        <v>234</v>
      </c>
      <c r="F42" s="199" t="s">
        <v>396</v>
      </c>
      <c r="G42" s="8"/>
      <c r="H42" s="141" t="s">
        <v>232</v>
      </c>
      <c r="I42" s="6" t="s">
        <v>233</v>
      </c>
      <c r="J42" s="252" t="s">
        <v>234</v>
      </c>
      <c r="K42" s="231" t="s">
        <v>396</v>
      </c>
      <c r="L42" s="306" t="s">
        <v>232</v>
      </c>
      <c r="M42" s="6" t="s">
        <v>233</v>
      </c>
      <c r="N42" s="252" t="s">
        <v>234</v>
      </c>
      <c r="O42" s="5"/>
      <c r="P42" s="5"/>
      <c r="Q42" s="5"/>
    </row>
    <row r="43" spans="1:17" x14ac:dyDescent="0.3">
      <c r="A43" s="5" t="s">
        <v>130</v>
      </c>
      <c r="B43" s="24" t="s">
        <v>264</v>
      </c>
      <c r="C43" s="24">
        <v>2.25</v>
      </c>
      <c r="D43" s="24">
        <v>5177078.6400000006</v>
      </c>
      <c r="E43" s="24">
        <v>1804662.3706000003</v>
      </c>
      <c r="F43" s="197">
        <f>+E43/D43</f>
        <v>0.34858701134197956</v>
      </c>
      <c r="G43" s="8"/>
      <c r="H43" s="10"/>
      <c r="I43" s="10"/>
      <c r="J43" s="254"/>
      <c r="K43" s="9"/>
      <c r="L43" s="68"/>
      <c r="M43" s="5"/>
      <c r="N43" s="40"/>
      <c r="O43" s="5"/>
      <c r="P43" s="5"/>
      <c r="Q43" s="5"/>
    </row>
    <row r="44" spans="1:17" x14ac:dyDescent="0.3">
      <c r="A44" s="5" t="s">
        <v>130</v>
      </c>
      <c r="B44" s="9" t="s">
        <v>265</v>
      </c>
      <c r="C44" s="10">
        <v>0.13</v>
      </c>
      <c r="D44" s="10">
        <v>441640</v>
      </c>
      <c r="E44" s="10">
        <v>151301.54</v>
      </c>
      <c r="F44" s="197">
        <f>+E44/D44</f>
        <v>0.34259020922017935</v>
      </c>
      <c r="G44" s="8"/>
      <c r="H44" s="153"/>
      <c r="I44" s="10"/>
      <c r="J44" s="254"/>
      <c r="K44" s="9"/>
      <c r="L44" s="68"/>
      <c r="M44" s="5"/>
      <c r="N44" s="40"/>
      <c r="O44" s="5"/>
      <c r="P44" s="5"/>
      <c r="Q44" s="5"/>
    </row>
    <row r="45" spans="1:17" x14ac:dyDescent="0.3">
      <c r="A45" s="5" t="s">
        <v>130</v>
      </c>
      <c r="B45" s="9" t="s">
        <v>237</v>
      </c>
      <c r="C45" s="10">
        <v>9</v>
      </c>
      <c r="D45" s="10">
        <v>17058522.239999998</v>
      </c>
      <c r="E45" s="10">
        <v>6002312.5296</v>
      </c>
      <c r="F45" s="197">
        <f>+E45/D45</f>
        <v>0.35186591459401823</v>
      </c>
      <c r="G45" s="8"/>
      <c r="H45" s="153"/>
      <c r="I45" s="10"/>
      <c r="J45" s="254"/>
      <c r="K45" s="9"/>
      <c r="L45" s="68"/>
      <c r="M45" s="5"/>
      <c r="N45" s="40"/>
      <c r="O45" s="5"/>
      <c r="P45" s="5"/>
      <c r="Q45" s="5"/>
    </row>
    <row r="46" spans="1:17" x14ac:dyDescent="0.3">
      <c r="A46" s="5" t="s">
        <v>130</v>
      </c>
      <c r="B46" s="9" t="s">
        <v>266</v>
      </c>
      <c r="C46" s="10">
        <v>0.3</v>
      </c>
      <c r="D46" s="10">
        <v>475000</v>
      </c>
      <c r="E46" s="10">
        <v>320412.5</v>
      </c>
      <c r="F46" s="197">
        <f t="shared" ref="F46:F83" si="21">+E46/D46</f>
        <v>0.6745526315789474</v>
      </c>
      <c r="G46" s="8"/>
      <c r="H46" s="153"/>
      <c r="I46" s="10"/>
      <c r="J46" s="254"/>
      <c r="K46" s="9"/>
      <c r="L46" s="68"/>
      <c r="M46" s="5"/>
      <c r="N46" s="40"/>
      <c r="O46" s="5"/>
      <c r="P46" s="5"/>
      <c r="Q46" s="5"/>
    </row>
    <row r="47" spans="1:17" x14ac:dyDescent="0.3">
      <c r="A47" s="5" t="s">
        <v>130</v>
      </c>
      <c r="B47" s="9" t="s">
        <v>267</v>
      </c>
      <c r="C47" s="10">
        <v>1</v>
      </c>
      <c r="D47" s="10">
        <v>2790983.2</v>
      </c>
      <c r="E47" s="10">
        <v>1215229.9779999999</v>
      </c>
      <c r="F47" s="197">
        <f t="shared" si="21"/>
        <v>0.4354128602422257</v>
      </c>
      <c r="G47" s="8"/>
      <c r="H47" s="154"/>
      <c r="I47" s="27"/>
      <c r="J47" s="260"/>
      <c r="K47" s="9"/>
      <c r="L47" s="68"/>
      <c r="M47" s="5"/>
      <c r="N47" s="40"/>
      <c r="O47" s="5"/>
      <c r="P47" s="5"/>
      <c r="Q47" s="5"/>
    </row>
    <row r="48" spans="1:17" x14ac:dyDescent="0.3">
      <c r="A48" s="5" t="s">
        <v>130</v>
      </c>
      <c r="B48" s="11" t="s">
        <v>238</v>
      </c>
      <c r="C48" s="12">
        <v>1.4</v>
      </c>
      <c r="D48" s="12">
        <v>1385235.0012959999</v>
      </c>
      <c r="E48" s="12">
        <v>160853.03576683995</v>
      </c>
      <c r="F48" s="198">
        <f t="shared" si="21"/>
        <v>0.11611967328023684</v>
      </c>
      <c r="G48" s="8"/>
      <c r="H48" s="152">
        <v>2.25</v>
      </c>
      <c r="I48" s="25">
        <v>8401995.7363370005</v>
      </c>
      <c r="J48" s="25">
        <v>4790725.7016014177</v>
      </c>
      <c r="K48" s="245">
        <f t="shared" ref="K48:K53" si="22">+J48/I48</f>
        <v>0.5701890184117161</v>
      </c>
      <c r="L48" s="68"/>
      <c r="M48" s="5"/>
      <c r="N48" s="40"/>
      <c r="O48" s="5"/>
      <c r="P48" s="5"/>
      <c r="Q48" s="5"/>
    </row>
    <row r="49" spans="1:17" x14ac:dyDescent="0.3">
      <c r="A49" s="5" t="s">
        <v>130</v>
      </c>
      <c r="B49" s="11" t="s">
        <v>239</v>
      </c>
      <c r="C49" s="12">
        <v>4.5</v>
      </c>
      <c r="D49" s="12">
        <v>8101180.9800000014</v>
      </c>
      <c r="E49" s="12">
        <v>2538021.3879500004</v>
      </c>
      <c r="F49" s="198">
        <f t="shared" si="21"/>
        <v>0.31329029609581688</v>
      </c>
      <c r="G49" s="8"/>
      <c r="H49" s="155">
        <v>4.5</v>
      </c>
      <c r="I49" s="29">
        <v>10560885.780924</v>
      </c>
      <c r="J49" s="261">
        <v>4051462.6230012099</v>
      </c>
      <c r="K49" s="245">
        <f t="shared" si="22"/>
        <v>0.38362905413855702</v>
      </c>
      <c r="L49" s="68"/>
      <c r="M49" s="5"/>
      <c r="N49" s="40"/>
      <c r="O49" s="5"/>
      <c r="P49" s="5"/>
      <c r="Q49" s="5"/>
    </row>
    <row r="50" spans="1:17" x14ac:dyDescent="0.3">
      <c r="A50" s="5" t="s">
        <v>130</v>
      </c>
      <c r="B50" s="30" t="s">
        <v>235</v>
      </c>
      <c r="C50" s="30"/>
      <c r="D50" s="30"/>
      <c r="E50" s="30"/>
      <c r="F50" s="205"/>
      <c r="G50" s="8"/>
      <c r="H50" s="156">
        <v>2.25</v>
      </c>
      <c r="I50" s="32">
        <v>3443328</v>
      </c>
      <c r="J50" s="262">
        <v>1434861.12</v>
      </c>
      <c r="K50" s="246">
        <f t="shared" si="22"/>
        <v>0.4167076502732241</v>
      </c>
      <c r="L50" s="68"/>
      <c r="M50" s="5"/>
      <c r="N50" s="40"/>
      <c r="O50" s="5"/>
      <c r="P50" s="5"/>
      <c r="Q50" s="5"/>
    </row>
    <row r="51" spans="1:17" x14ac:dyDescent="0.3">
      <c r="A51" s="5" t="s">
        <v>130</v>
      </c>
      <c r="B51" s="30" t="s">
        <v>240</v>
      </c>
      <c r="C51" s="34"/>
      <c r="D51" s="33"/>
      <c r="E51" s="33"/>
      <c r="F51" s="206"/>
      <c r="G51" s="8"/>
      <c r="H51" s="156">
        <v>6.75</v>
      </c>
      <c r="I51" s="35">
        <v>8984803</v>
      </c>
      <c r="J51" s="263">
        <v>2224900</v>
      </c>
      <c r="K51" s="246">
        <f t="shared" si="22"/>
        <v>0.24762924685160043</v>
      </c>
      <c r="L51" s="68"/>
      <c r="M51" s="5"/>
      <c r="N51" s="40"/>
      <c r="O51" s="5"/>
      <c r="P51" s="5"/>
      <c r="Q51" s="5"/>
    </row>
    <row r="52" spans="1:17" x14ac:dyDescent="0.3">
      <c r="A52" s="5" t="s">
        <v>130</v>
      </c>
      <c r="B52" s="16" t="s">
        <v>268</v>
      </c>
      <c r="C52" s="36"/>
      <c r="D52" s="36"/>
      <c r="E52" s="36"/>
      <c r="F52" s="207"/>
      <c r="G52" s="8"/>
      <c r="H52" s="140">
        <v>2.25</v>
      </c>
      <c r="I52" s="17">
        <v>3466426.0062500001</v>
      </c>
      <c r="J52" s="257">
        <v>1253111</v>
      </c>
      <c r="K52" s="246">
        <f t="shared" si="22"/>
        <v>0.36149942267356305</v>
      </c>
      <c r="L52" s="68"/>
      <c r="M52" s="5"/>
      <c r="N52" s="40"/>
      <c r="O52" s="5"/>
      <c r="P52" s="5"/>
      <c r="Q52" s="5"/>
    </row>
    <row r="53" spans="1:17" s="37" customFormat="1" x14ac:dyDescent="0.3">
      <c r="A53" s="4" t="s">
        <v>241</v>
      </c>
      <c r="B53" s="4"/>
      <c r="C53" s="13">
        <f>SUM(C43:C52)</f>
        <v>18.579999999999998</v>
      </c>
      <c r="D53" s="13">
        <f t="shared" ref="D53:E53" si="23">SUM(D43:D52)</f>
        <v>35429640.061296001</v>
      </c>
      <c r="E53" s="13">
        <f t="shared" si="23"/>
        <v>12192793.341916841</v>
      </c>
      <c r="F53" s="200">
        <f t="shared" si="21"/>
        <v>0.34414104464009149</v>
      </c>
      <c r="G53" s="14"/>
      <c r="H53" s="149">
        <f>SUM(H43:H52)</f>
        <v>18</v>
      </c>
      <c r="I53" s="13">
        <f>SUM(I43:I52)</f>
        <v>34857438.523511</v>
      </c>
      <c r="J53" s="256">
        <f>SUM(J43:J52)</f>
        <v>13755060.444602627</v>
      </c>
      <c r="K53" s="75">
        <f t="shared" si="22"/>
        <v>0.39460904263877489</v>
      </c>
      <c r="L53" s="307">
        <f>+H53-C53</f>
        <v>-0.57999999999999829</v>
      </c>
      <c r="M53" s="98">
        <f t="shared" ref="M53" si="24">+I53-D53</f>
        <v>-572201.5377850011</v>
      </c>
      <c r="N53" s="300">
        <f t="shared" ref="N53" si="25">+J53-E53</f>
        <v>1562267.1026857868</v>
      </c>
      <c r="O53" s="4"/>
      <c r="P53" s="4"/>
      <c r="Q53" s="4"/>
    </row>
    <row r="54" spans="1:17" x14ac:dyDescent="0.3">
      <c r="A54" s="5" t="s">
        <v>137</v>
      </c>
      <c r="B54" s="9" t="s">
        <v>269</v>
      </c>
      <c r="C54" s="10">
        <v>2.25</v>
      </c>
      <c r="D54" s="10">
        <v>4065103.26</v>
      </c>
      <c r="E54" s="10">
        <v>1619131.63665</v>
      </c>
      <c r="F54" s="197">
        <f t="shared" si="21"/>
        <v>0.39830024801141217</v>
      </c>
      <c r="G54" s="8"/>
      <c r="H54" s="154"/>
      <c r="I54" s="9"/>
      <c r="J54" s="253"/>
      <c r="K54" s="9"/>
      <c r="L54" s="68"/>
      <c r="M54" s="5"/>
      <c r="N54" s="40"/>
      <c r="O54" s="5"/>
      <c r="P54" s="5"/>
      <c r="Q54" s="5"/>
    </row>
    <row r="55" spans="1:17" x14ac:dyDescent="0.3">
      <c r="A55" s="5" t="s">
        <v>137</v>
      </c>
      <c r="B55" s="9" t="s">
        <v>270</v>
      </c>
      <c r="C55" s="10">
        <v>1</v>
      </c>
      <c r="D55" s="10">
        <v>7486608.6852473188</v>
      </c>
      <c r="E55" s="10">
        <v>3157025.0698292544</v>
      </c>
      <c r="F55" s="197">
        <f t="shared" si="21"/>
        <v>0.42168960641021708</v>
      </c>
      <c r="G55" s="8"/>
      <c r="H55" s="154"/>
      <c r="I55" s="9"/>
      <c r="J55" s="253"/>
      <c r="K55" s="9"/>
      <c r="L55" s="68"/>
      <c r="M55" s="5"/>
      <c r="N55" s="40"/>
      <c r="O55" s="5"/>
      <c r="P55" s="5"/>
      <c r="Q55" s="5"/>
    </row>
    <row r="56" spans="1:17" x14ac:dyDescent="0.3">
      <c r="A56" s="5" t="s">
        <v>137</v>
      </c>
      <c r="B56" s="9" t="s">
        <v>271</v>
      </c>
      <c r="C56" s="10">
        <v>1</v>
      </c>
      <c r="D56" s="10">
        <v>3855664.8000000007</v>
      </c>
      <c r="E56" s="10">
        <v>1967596.5919999999</v>
      </c>
      <c r="F56" s="197">
        <f t="shared" si="21"/>
        <v>0.51031318697621209</v>
      </c>
      <c r="G56" s="8"/>
      <c r="H56" s="154"/>
      <c r="I56" s="9"/>
      <c r="J56" s="253"/>
      <c r="K56" s="9"/>
      <c r="L56" s="68"/>
      <c r="M56" s="5"/>
      <c r="N56" s="40"/>
      <c r="O56" s="5"/>
      <c r="P56" s="5"/>
      <c r="Q56" s="5"/>
    </row>
    <row r="57" spans="1:17" x14ac:dyDescent="0.3">
      <c r="A57" s="5" t="s">
        <v>137</v>
      </c>
      <c r="B57" s="9" t="s">
        <v>272</v>
      </c>
      <c r="C57" s="10">
        <v>2.25</v>
      </c>
      <c r="D57" s="10">
        <v>2760851.1150000002</v>
      </c>
      <c r="E57" s="10">
        <v>904385.00491250004</v>
      </c>
      <c r="F57" s="197">
        <f t="shared" si="21"/>
        <v>0.32757471056620158</v>
      </c>
      <c r="G57" s="8"/>
      <c r="H57" s="154"/>
      <c r="I57" s="9"/>
      <c r="J57" s="253"/>
      <c r="K57" s="9"/>
      <c r="L57" s="68"/>
      <c r="M57" s="5"/>
      <c r="N57" s="40"/>
      <c r="O57" s="5"/>
      <c r="P57" s="5"/>
      <c r="Q57" s="5"/>
    </row>
    <row r="58" spans="1:17" x14ac:dyDescent="0.3">
      <c r="A58" s="5" t="s">
        <v>137</v>
      </c>
      <c r="B58" s="38" t="s">
        <v>273</v>
      </c>
      <c r="C58" s="39">
        <v>1</v>
      </c>
      <c r="D58" s="39">
        <v>3855664.8000000007</v>
      </c>
      <c r="E58" s="39">
        <v>1967596.5919999999</v>
      </c>
      <c r="F58" s="208">
        <f t="shared" si="21"/>
        <v>0.51031318697621209</v>
      </c>
      <c r="G58" s="8"/>
      <c r="H58" s="154"/>
      <c r="I58" s="9"/>
      <c r="J58" s="253"/>
      <c r="K58" s="9"/>
      <c r="L58" s="68"/>
      <c r="M58" s="5"/>
      <c r="N58" s="40"/>
      <c r="O58" s="5"/>
      <c r="P58" s="5"/>
      <c r="Q58" s="5"/>
    </row>
    <row r="59" spans="1:17" x14ac:dyDescent="0.3">
      <c r="A59" s="5" t="s">
        <v>137</v>
      </c>
      <c r="B59" s="16" t="s">
        <v>271</v>
      </c>
      <c r="C59" s="16"/>
      <c r="D59" s="33"/>
      <c r="E59" s="33"/>
      <c r="F59" s="206"/>
      <c r="G59" s="7"/>
      <c r="H59" s="157">
        <v>1</v>
      </c>
      <c r="I59" s="41">
        <v>5169886.45</v>
      </c>
      <c r="J59" s="41">
        <v>2543460.8398750001</v>
      </c>
      <c r="K59" s="246">
        <f t="shared" ref="K59:K62" si="26">+J59/I59</f>
        <v>0.49197615159903557</v>
      </c>
      <c r="L59" s="68"/>
      <c r="M59" s="5"/>
      <c r="N59" s="40"/>
      <c r="O59" s="5"/>
      <c r="P59" s="5"/>
      <c r="Q59" s="5"/>
    </row>
    <row r="60" spans="1:17" x14ac:dyDescent="0.3">
      <c r="A60" s="5" t="s">
        <v>137</v>
      </c>
      <c r="B60" s="42" t="s">
        <v>274</v>
      </c>
      <c r="C60" s="43"/>
      <c r="D60" s="43"/>
      <c r="E60" s="43"/>
      <c r="F60" s="209"/>
      <c r="G60" s="8"/>
      <c r="H60" s="158">
        <v>2</v>
      </c>
      <c r="I60" s="44">
        <v>5184873.5874999994</v>
      </c>
      <c r="J60" s="264">
        <v>938919.55678124912</v>
      </c>
      <c r="K60" s="246">
        <f t="shared" si="26"/>
        <v>0.18108822538023917</v>
      </c>
      <c r="L60" s="68"/>
      <c r="M60" s="5"/>
      <c r="N60" s="40"/>
      <c r="O60" s="5"/>
      <c r="P60" s="5"/>
      <c r="Q60" s="5"/>
    </row>
    <row r="61" spans="1:17" x14ac:dyDescent="0.3">
      <c r="A61" s="5" t="s">
        <v>137</v>
      </c>
      <c r="B61" s="16" t="s">
        <v>244</v>
      </c>
      <c r="C61" s="33"/>
      <c r="D61" s="33"/>
      <c r="E61" s="33"/>
      <c r="F61" s="206"/>
      <c r="G61" s="8"/>
      <c r="H61" s="159">
        <v>2</v>
      </c>
      <c r="I61" s="45">
        <v>3887805.6</v>
      </c>
      <c r="J61" s="265">
        <v>1774952.2140000002</v>
      </c>
      <c r="K61" s="246">
        <f t="shared" si="26"/>
        <v>0.45654345834575683</v>
      </c>
      <c r="L61" s="68"/>
      <c r="M61" s="5"/>
      <c r="N61" s="40"/>
      <c r="O61" s="5"/>
      <c r="P61" s="5"/>
      <c r="Q61" s="5"/>
    </row>
    <row r="62" spans="1:17" s="37" customFormat="1" x14ac:dyDescent="0.3">
      <c r="A62" s="4" t="s">
        <v>245</v>
      </c>
      <c r="B62" s="4"/>
      <c r="C62" s="13">
        <f>SUM(C54:C58)</f>
        <v>7.5</v>
      </c>
      <c r="D62" s="13">
        <f>SUM(D54:D58)</f>
        <v>22023892.660247322</v>
      </c>
      <c r="E62" s="13">
        <f>SUM(E54:E58)</f>
        <v>9615734.8953917548</v>
      </c>
      <c r="F62" s="200">
        <f t="shared" si="21"/>
        <v>0.43660469308170757</v>
      </c>
      <c r="G62" s="14"/>
      <c r="H62" s="150">
        <f>SUM(H54:H61)</f>
        <v>5</v>
      </c>
      <c r="I62" s="13">
        <f>SUM(I54:I61)</f>
        <v>14242565.637499999</v>
      </c>
      <c r="J62" s="256">
        <f>SUM(J54:J61)</f>
        <v>5257332.6106562493</v>
      </c>
      <c r="K62" s="75">
        <f t="shared" si="26"/>
        <v>0.36912819954390397</v>
      </c>
      <c r="L62" s="307">
        <f>+H62-C62</f>
        <v>-2.5</v>
      </c>
      <c r="M62" s="98">
        <f t="shared" ref="M62" si="27">+I62-D62</f>
        <v>-7781327.0227473229</v>
      </c>
      <c r="N62" s="300">
        <f t="shared" ref="N62" si="28">+J62-E62</f>
        <v>-4358402.2847355055</v>
      </c>
      <c r="O62" s="4"/>
      <c r="P62" s="4"/>
      <c r="Q62" s="4"/>
    </row>
    <row r="63" spans="1:17" x14ac:dyDescent="0.3">
      <c r="A63" s="5" t="s">
        <v>115</v>
      </c>
      <c r="B63" s="9" t="s">
        <v>275</v>
      </c>
      <c r="C63" s="10">
        <v>2.25</v>
      </c>
      <c r="D63" s="10">
        <v>4880128.5000000009</v>
      </c>
      <c r="E63" s="10">
        <v>1748755.6087500006</v>
      </c>
      <c r="F63" s="197">
        <f t="shared" si="21"/>
        <v>0.35834212331703974</v>
      </c>
      <c r="G63" s="7"/>
      <c r="H63" s="154"/>
      <c r="I63" s="9"/>
      <c r="J63" s="253"/>
      <c r="K63" s="9"/>
      <c r="L63" s="68"/>
      <c r="M63" s="5"/>
      <c r="N63" s="40"/>
      <c r="O63" s="5"/>
      <c r="P63" s="5"/>
      <c r="Q63" s="5"/>
    </row>
    <row r="64" spans="1:17" x14ac:dyDescent="0.3">
      <c r="A64" s="5" t="s">
        <v>115</v>
      </c>
      <c r="B64" s="9" t="s">
        <v>3</v>
      </c>
      <c r="C64" s="10">
        <v>2.25</v>
      </c>
      <c r="D64" s="10">
        <v>2240568</v>
      </c>
      <c r="E64" s="10">
        <v>935395.22</v>
      </c>
      <c r="F64" s="197">
        <f t="shared" si="21"/>
        <v>0.41748129045849086</v>
      </c>
      <c r="G64" s="7"/>
      <c r="H64" s="154"/>
      <c r="I64" s="9"/>
      <c r="J64" s="253"/>
      <c r="K64" s="9"/>
      <c r="L64" s="68"/>
      <c r="M64" s="5"/>
      <c r="N64" s="40"/>
      <c r="O64" s="5"/>
      <c r="P64" s="5"/>
      <c r="Q64" s="5"/>
    </row>
    <row r="65" spans="1:17" x14ac:dyDescent="0.3">
      <c r="A65" s="5" t="s">
        <v>115</v>
      </c>
      <c r="B65" s="9" t="s">
        <v>276</v>
      </c>
      <c r="C65" s="10">
        <v>2.25</v>
      </c>
      <c r="D65" s="10">
        <v>6481811.7000000002</v>
      </c>
      <c r="E65" s="10">
        <v>2950770.9367500003</v>
      </c>
      <c r="F65" s="197">
        <f t="shared" si="21"/>
        <v>0.45523860817339085</v>
      </c>
      <c r="G65" s="7"/>
      <c r="H65" s="154"/>
      <c r="I65" s="27"/>
      <c r="J65" s="260"/>
      <c r="K65" s="9"/>
      <c r="L65" s="68"/>
      <c r="M65" s="5"/>
      <c r="N65" s="40"/>
      <c r="O65" s="5"/>
      <c r="P65" s="5"/>
      <c r="Q65" s="5"/>
    </row>
    <row r="66" spans="1:17" x14ac:dyDescent="0.3">
      <c r="A66" s="5" t="s">
        <v>115</v>
      </c>
      <c r="B66" s="11" t="s">
        <v>277</v>
      </c>
      <c r="C66" s="12">
        <v>0.6</v>
      </c>
      <c r="D66" s="12">
        <v>731227.5</v>
      </c>
      <c r="E66" s="12">
        <v>301724.08125000005</v>
      </c>
      <c r="F66" s="198">
        <f t="shared" si="21"/>
        <v>0.41262682441511028</v>
      </c>
      <c r="G66" s="7"/>
      <c r="H66" s="155">
        <v>1.1200000000000001</v>
      </c>
      <c r="I66" s="29">
        <v>1815827.73</v>
      </c>
      <c r="J66" s="261">
        <v>576960.17857500003</v>
      </c>
      <c r="K66" s="245">
        <f t="shared" ref="K66:K70" si="29">+J66/I66</f>
        <v>0.31773949094554255</v>
      </c>
      <c r="L66" s="68"/>
      <c r="M66" s="5"/>
      <c r="N66" s="40"/>
      <c r="O66" s="5"/>
      <c r="P66" s="5"/>
      <c r="Q66" s="5"/>
    </row>
    <row r="67" spans="1:17" x14ac:dyDescent="0.3">
      <c r="A67" s="5" t="s">
        <v>115</v>
      </c>
      <c r="B67" s="42" t="s">
        <v>278</v>
      </c>
      <c r="C67" s="17"/>
      <c r="D67" s="17"/>
      <c r="E67" s="17"/>
      <c r="F67" s="201"/>
      <c r="G67" s="7"/>
      <c r="H67" s="140">
        <v>0.4</v>
      </c>
      <c r="I67" s="17">
        <v>734700</v>
      </c>
      <c r="J67" s="257">
        <v>303869.25</v>
      </c>
      <c r="K67" s="246">
        <f t="shared" si="29"/>
        <v>0.41359636586361781</v>
      </c>
      <c r="L67" s="68"/>
      <c r="M67" s="5"/>
      <c r="N67" s="40"/>
      <c r="O67" s="5"/>
      <c r="P67" s="5"/>
      <c r="Q67" s="5"/>
    </row>
    <row r="68" spans="1:17" x14ac:dyDescent="0.3">
      <c r="A68" s="5" t="s">
        <v>115</v>
      </c>
      <c r="B68" s="16" t="s">
        <v>279</v>
      </c>
      <c r="C68" s="17"/>
      <c r="D68" s="17"/>
      <c r="E68" s="17"/>
      <c r="F68" s="201"/>
      <c r="G68" s="7"/>
      <c r="H68" s="160">
        <v>0.7</v>
      </c>
      <c r="I68" s="46">
        <v>1917839.7</v>
      </c>
      <c r="J68" s="46">
        <v>427244</v>
      </c>
      <c r="K68" s="246">
        <f t="shared" si="29"/>
        <v>0.22277357174324841</v>
      </c>
      <c r="L68" s="68"/>
      <c r="M68" s="5"/>
      <c r="N68" s="40"/>
      <c r="O68" s="5"/>
      <c r="P68" s="5"/>
      <c r="Q68" s="5"/>
    </row>
    <row r="69" spans="1:17" x14ac:dyDescent="0.3">
      <c r="A69" s="5" t="s">
        <v>115</v>
      </c>
      <c r="B69" s="11" t="s">
        <v>246</v>
      </c>
      <c r="C69" s="12">
        <v>2.25</v>
      </c>
      <c r="D69" s="12">
        <v>9134665.4750399999</v>
      </c>
      <c r="E69" s="12">
        <v>3515129.5242516007</v>
      </c>
      <c r="F69" s="198">
        <f t="shared" si="21"/>
        <v>0.38481206934797013</v>
      </c>
      <c r="G69" s="7"/>
      <c r="H69" s="155">
        <v>2.25</v>
      </c>
      <c r="I69" s="47">
        <v>10007320.934332801</v>
      </c>
      <c r="J69" s="266">
        <v>5308767.6287883129</v>
      </c>
      <c r="K69" s="245">
        <f t="shared" si="29"/>
        <v>0.53048839580782903</v>
      </c>
      <c r="L69" s="68"/>
      <c r="M69" s="5"/>
      <c r="N69" s="40"/>
      <c r="O69" s="5"/>
      <c r="P69" s="5"/>
      <c r="Q69" s="5"/>
    </row>
    <row r="70" spans="1:17" s="37" customFormat="1" x14ac:dyDescent="0.3">
      <c r="A70" s="4" t="s">
        <v>249</v>
      </c>
      <c r="B70" s="5"/>
      <c r="C70" s="13">
        <f>SUM(C63:C69)</f>
        <v>9.6</v>
      </c>
      <c r="D70" s="13">
        <f>SUM(D63:D69)</f>
        <v>23468401.175039999</v>
      </c>
      <c r="E70" s="13">
        <f>SUM(E63:E69)</f>
        <v>9451775.3710016012</v>
      </c>
      <c r="F70" s="200">
        <f t="shared" si="21"/>
        <v>0.40274475029232543</v>
      </c>
      <c r="G70" s="48"/>
      <c r="H70" s="149">
        <f>SUM(H63:H69)</f>
        <v>4.47</v>
      </c>
      <c r="I70" s="13">
        <f>SUM(I63:I69)</f>
        <v>14475688.364332801</v>
      </c>
      <c r="J70" s="256">
        <f>SUM(J63:J69)</f>
        <v>6616841.0573633127</v>
      </c>
      <c r="K70" s="75">
        <f t="shared" si="29"/>
        <v>0.45710026983357827</v>
      </c>
      <c r="L70" s="307">
        <f>+H70-C70</f>
        <v>-5.13</v>
      </c>
      <c r="M70" s="98">
        <f t="shared" ref="M70" si="30">+I70-D70</f>
        <v>-8992712.8107071985</v>
      </c>
      <c r="N70" s="300">
        <f t="shared" ref="N70" si="31">+J70-E70</f>
        <v>-2834934.3136382885</v>
      </c>
      <c r="O70" s="4"/>
      <c r="P70" s="4"/>
      <c r="Q70" s="4"/>
    </row>
    <row r="71" spans="1:17" s="37" customFormat="1" x14ac:dyDescent="0.3">
      <c r="A71" s="5" t="s">
        <v>127</v>
      </c>
      <c r="B71" s="9" t="s">
        <v>280</v>
      </c>
      <c r="C71" s="20">
        <v>2.25</v>
      </c>
      <c r="D71" s="20">
        <v>2302668</v>
      </c>
      <c r="E71" s="20">
        <v>467637.93000000023</v>
      </c>
      <c r="F71" s="203">
        <f t="shared" si="21"/>
        <v>0.20308526022856974</v>
      </c>
      <c r="G71" s="48"/>
      <c r="H71" s="161"/>
      <c r="I71" s="50"/>
      <c r="J71" s="267"/>
      <c r="K71" s="9"/>
      <c r="L71" s="308"/>
      <c r="M71" s="4"/>
      <c r="N71" s="269"/>
      <c r="O71" s="4"/>
      <c r="P71" s="4"/>
      <c r="Q71" s="4"/>
    </row>
    <row r="72" spans="1:17" s="37" customFormat="1" x14ac:dyDescent="0.3">
      <c r="A72" s="5" t="s">
        <v>127</v>
      </c>
      <c r="B72" s="9" t="s">
        <v>281</v>
      </c>
      <c r="C72" s="20">
        <v>1</v>
      </c>
      <c r="D72" s="20">
        <v>1654747.65</v>
      </c>
      <c r="E72" s="20">
        <v>350539.82787499984</v>
      </c>
      <c r="F72" s="203">
        <f t="shared" si="21"/>
        <v>0.21183884314626455</v>
      </c>
      <c r="G72" s="48"/>
      <c r="H72" s="161"/>
      <c r="I72" s="50"/>
      <c r="J72" s="267"/>
      <c r="K72" s="9"/>
      <c r="L72" s="308"/>
      <c r="M72" s="4"/>
      <c r="N72" s="269"/>
      <c r="O72" s="4"/>
      <c r="P72" s="4"/>
      <c r="Q72" s="4"/>
    </row>
    <row r="73" spans="1:17" s="37" customFormat="1" x14ac:dyDescent="0.3">
      <c r="A73" s="5" t="s">
        <v>127</v>
      </c>
      <c r="B73" s="11" t="s">
        <v>252</v>
      </c>
      <c r="C73" s="19">
        <v>2.85</v>
      </c>
      <c r="D73" s="19">
        <v>5329561.7249999996</v>
      </c>
      <c r="E73" s="19">
        <v>1853953.3749999998</v>
      </c>
      <c r="F73" s="202">
        <f t="shared" si="21"/>
        <v>0.34786225784822861</v>
      </c>
      <c r="G73" s="48"/>
      <c r="H73" s="155">
        <v>9</v>
      </c>
      <c r="I73" s="29">
        <v>14817035</v>
      </c>
      <c r="J73" s="261">
        <v>5046200</v>
      </c>
      <c r="K73" s="245">
        <f t="shared" ref="K73:K83" si="32">+J73/I73</f>
        <v>0.34056746170876967</v>
      </c>
      <c r="L73" s="308"/>
      <c r="M73" s="4"/>
      <c r="N73" s="269"/>
      <c r="O73" s="4"/>
      <c r="P73" s="4"/>
      <c r="Q73" s="4"/>
    </row>
    <row r="74" spans="1:17" s="37" customFormat="1" x14ac:dyDescent="0.3">
      <c r="A74" s="5" t="s">
        <v>127</v>
      </c>
      <c r="B74" s="11" t="s">
        <v>253</v>
      </c>
      <c r="C74" s="19">
        <v>2.25</v>
      </c>
      <c r="D74" s="19">
        <v>6179808.3011247143</v>
      </c>
      <c r="E74" s="19">
        <v>2554493.2143494077</v>
      </c>
      <c r="F74" s="202">
        <f t="shared" si="21"/>
        <v>0.413361238710996</v>
      </c>
      <c r="G74" s="48"/>
      <c r="H74" s="162">
        <v>2.25</v>
      </c>
      <c r="I74" s="47">
        <v>6154361</v>
      </c>
      <c r="J74" s="266">
        <v>2736656</v>
      </c>
      <c r="K74" s="245">
        <f t="shared" si="32"/>
        <v>0.44466939784650267</v>
      </c>
      <c r="L74" s="308"/>
      <c r="M74" s="4"/>
      <c r="N74" s="269"/>
      <c r="O74" s="4"/>
      <c r="P74" s="4"/>
      <c r="Q74" s="4"/>
    </row>
    <row r="75" spans="1:17" s="37" customFormat="1" x14ac:dyDescent="0.3">
      <c r="A75" s="5" t="s">
        <v>127</v>
      </c>
      <c r="B75" s="9" t="s">
        <v>282</v>
      </c>
      <c r="C75" s="9">
        <v>2.25</v>
      </c>
      <c r="D75" s="9">
        <v>4207585.5</v>
      </c>
      <c r="E75" s="9">
        <v>1451788.3262499999</v>
      </c>
      <c r="F75" s="210">
        <f t="shared" si="21"/>
        <v>0.34504071901806865</v>
      </c>
      <c r="G75" s="48"/>
      <c r="H75" s="142"/>
      <c r="I75" s="9"/>
      <c r="J75" s="253"/>
      <c r="K75" s="9"/>
      <c r="L75" s="308"/>
      <c r="M75" s="4"/>
      <c r="N75" s="269"/>
      <c r="O75" s="4"/>
      <c r="P75" s="4"/>
      <c r="Q75" s="4"/>
    </row>
    <row r="76" spans="1:17" s="37" customFormat="1" x14ac:dyDescent="0.3">
      <c r="A76" s="5" t="s">
        <v>127</v>
      </c>
      <c r="B76" s="42" t="s">
        <v>283</v>
      </c>
      <c r="C76" s="42"/>
      <c r="D76" s="42"/>
      <c r="E76" s="42"/>
      <c r="F76" s="211"/>
      <c r="G76" s="48"/>
      <c r="H76" s="140">
        <v>0.01</v>
      </c>
      <c r="I76" s="140">
        <v>49350</v>
      </c>
      <c r="J76" s="268">
        <v>33916</v>
      </c>
      <c r="K76" s="246">
        <f t="shared" si="32"/>
        <v>0.6872543059777102</v>
      </c>
      <c r="L76" s="308"/>
      <c r="M76" s="4"/>
      <c r="N76" s="269"/>
      <c r="O76" s="4"/>
      <c r="P76" s="4"/>
      <c r="Q76" s="4"/>
    </row>
    <row r="77" spans="1:17" s="37" customFormat="1" x14ac:dyDescent="0.3">
      <c r="A77" s="5" t="s">
        <v>127</v>
      </c>
      <c r="B77" s="42" t="s">
        <v>284</v>
      </c>
      <c r="C77" s="42"/>
      <c r="D77" s="42"/>
      <c r="E77" s="42"/>
      <c r="F77" s="211"/>
      <c r="G77" s="48"/>
      <c r="H77" s="140">
        <v>0.14000000000000001</v>
      </c>
      <c r="I77" s="140">
        <v>411000</v>
      </c>
      <c r="J77" s="268">
        <v>205500</v>
      </c>
      <c r="K77" s="246">
        <f t="shared" si="32"/>
        <v>0.5</v>
      </c>
      <c r="L77" s="308"/>
      <c r="M77" s="4"/>
      <c r="N77" s="269"/>
      <c r="O77" s="4"/>
      <c r="P77" s="4"/>
      <c r="Q77" s="4"/>
    </row>
    <row r="78" spans="1:17" s="37" customFormat="1" x14ac:dyDescent="0.3">
      <c r="A78" s="5" t="s">
        <v>127</v>
      </c>
      <c r="B78" s="42" t="s">
        <v>285</v>
      </c>
      <c r="C78" s="42"/>
      <c r="D78" s="42"/>
      <c r="E78" s="42"/>
      <c r="F78" s="211"/>
      <c r="G78" s="48"/>
      <c r="H78" s="140">
        <v>0.16</v>
      </c>
      <c r="I78" s="140">
        <v>602748</v>
      </c>
      <c r="J78" s="268">
        <v>332445</v>
      </c>
      <c r="K78" s="246">
        <f t="shared" si="32"/>
        <v>0.55154890601047202</v>
      </c>
      <c r="L78" s="308"/>
      <c r="M78" s="4"/>
      <c r="N78" s="269"/>
      <c r="O78" s="4"/>
      <c r="P78" s="4"/>
      <c r="Q78" s="4"/>
    </row>
    <row r="79" spans="1:17" s="37" customFormat="1" x14ac:dyDescent="0.3">
      <c r="A79" s="4" t="s">
        <v>259</v>
      </c>
      <c r="B79" s="4"/>
      <c r="C79" s="13">
        <f>SUM(C71:C75)</f>
        <v>10.6</v>
      </c>
      <c r="D79" s="13">
        <f>SUM(D71:D75)</f>
        <v>19674371.176124714</v>
      </c>
      <c r="E79" s="13">
        <f>SUM(E71:E75)</f>
        <v>6678412.6734744078</v>
      </c>
      <c r="F79" s="200">
        <f t="shared" si="21"/>
        <v>0.33944732533961797</v>
      </c>
      <c r="G79" s="48"/>
      <c r="H79" s="149">
        <f>SUM(H71:H78)</f>
        <v>11.56</v>
      </c>
      <c r="I79" s="13">
        <f>SUM(I71:I78)</f>
        <v>22034494</v>
      </c>
      <c r="J79" s="256">
        <f>SUM(J71:J78)</f>
        <v>8354717</v>
      </c>
      <c r="K79" s="75">
        <f t="shared" si="32"/>
        <v>0.37916536681078311</v>
      </c>
      <c r="L79" s="307">
        <f>+H79-C79</f>
        <v>0.96000000000000085</v>
      </c>
      <c r="M79" s="98">
        <f t="shared" ref="M79" si="33">+I79-D79</f>
        <v>2360122.8238752857</v>
      </c>
      <c r="N79" s="300">
        <f t="shared" ref="N79" si="34">+J79-E79</f>
        <v>1676304.3265255922</v>
      </c>
      <c r="O79" s="4"/>
      <c r="P79" s="4"/>
      <c r="Q79" s="4"/>
    </row>
    <row r="80" spans="1:17" s="37" customFormat="1" x14ac:dyDescent="0.3">
      <c r="A80" s="4"/>
      <c r="B80" s="4"/>
      <c r="C80" s="13"/>
      <c r="D80" s="13"/>
      <c r="E80" s="13"/>
      <c r="F80" s="200"/>
      <c r="G80" s="48"/>
      <c r="H80" s="163"/>
      <c r="I80" s="4"/>
      <c r="J80" s="269"/>
      <c r="K80" s="92"/>
      <c r="L80" s="308"/>
      <c r="M80" s="4"/>
      <c r="N80" s="269"/>
      <c r="O80" s="4"/>
      <c r="P80" s="4"/>
      <c r="Q80" s="4"/>
    </row>
    <row r="81" spans="1:17" x14ac:dyDescent="0.3">
      <c r="A81" s="4" t="s">
        <v>260</v>
      </c>
      <c r="B81" s="4"/>
      <c r="C81" s="13">
        <f>+C79</f>
        <v>10.6</v>
      </c>
      <c r="D81" s="13">
        <f t="shared" ref="D81:E81" si="35">+D79</f>
        <v>19674371.176124714</v>
      </c>
      <c r="E81" s="13">
        <f t="shared" si="35"/>
        <v>6678412.6734744078</v>
      </c>
      <c r="F81" s="200">
        <f t="shared" si="21"/>
        <v>0.33944732533961797</v>
      </c>
      <c r="G81" s="8"/>
      <c r="H81" s="149">
        <f>+H79</f>
        <v>11.56</v>
      </c>
      <c r="I81" s="13">
        <f>+I79</f>
        <v>22034494</v>
      </c>
      <c r="J81" s="256">
        <f t="shared" ref="J81" si="36">+J79</f>
        <v>8354717</v>
      </c>
      <c r="K81" s="92">
        <f t="shared" si="32"/>
        <v>0.37916536681078311</v>
      </c>
      <c r="L81" s="307">
        <f>+H81-C81</f>
        <v>0.96000000000000085</v>
      </c>
      <c r="M81" s="98">
        <f t="shared" ref="M81:M83" si="37">+I81-D81</f>
        <v>2360122.8238752857</v>
      </c>
      <c r="N81" s="300">
        <f t="shared" ref="N81:N83" si="38">+J81-E81</f>
        <v>1676304.3265255922</v>
      </c>
      <c r="O81" s="5"/>
      <c r="P81" s="5"/>
      <c r="Q81" s="5"/>
    </row>
    <row r="82" spans="1:17" x14ac:dyDescent="0.3">
      <c r="A82" s="4" t="s">
        <v>261</v>
      </c>
      <c r="B82" s="4"/>
      <c r="C82" s="13">
        <f>+C70+C62+C53</f>
        <v>35.68</v>
      </c>
      <c r="D82" s="13">
        <f>+D70+D62+D53</f>
        <v>80921933.896583319</v>
      </c>
      <c r="E82" s="13">
        <f>+E70+E62+E53</f>
        <v>31260303.608310197</v>
      </c>
      <c r="F82" s="200">
        <f t="shared" si="21"/>
        <v>0.38630198393751025</v>
      </c>
      <c r="G82" s="14"/>
      <c r="H82" s="149">
        <f>+H70+H62+H53</f>
        <v>27.47</v>
      </c>
      <c r="I82" s="13">
        <f>+I70+I62+I53</f>
        <v>63575692.525343798</v>
      </c>
      <c r="J82" s="256">
        <f>+J70+J62+J53</f>
        <v>25629234.11262219</v>
      </c>
      <c r="K82" s="92">
        <f t="shared" si="32"/>
        <v>0.40312945238316295</v>
      </c>
      <c r="L82" s="307">
        <f t="shared" ref="L82:L83" si="39">+H82-C82</f>
        <v>-8.2100000000000009</v>
      </c>
      <c r="M82" s="98">
        <f t="shared" si="37"/>
        <v>-17346241.371239521</v>
      </c>
      <c r="N82" s="300">
        <f t="shared" si="38"/>
        <v>-5631069.4956880063</v>
      </c>
      <c r="O82" s="5"/>
      <c r="P82" s="5"/>
      <c r="Q82" s="5"/>
    </row>
    <row r="83" spans="1:17" x14ac:dyDescent="0.3">
      <c r="A83" s="4" t="s">
        <v>262</v>
      </c>
      <c r="B83" s="4"/>
      <c r="C83" s="13">
        <f>+C81+C82</f>
        <v>46.28</v>
      </c>
      <c r="D83" s="13">
        <f t="shared" ref="D83:G83" si="40">+D81+D82</f>
        <v>100596305.07270804</v>
      </c>
      <c r="E83" s="13">
        <f t="shared" si="40"/>
        <v>37938716.281784602</v>
      </c>
      <c r="F83" s="200">
        <f t="shared" si="21"/>
        <v>0.377138268193485</v>
      </c>
      <c r="G83" s="14">
        <f t="shared" si="40"/>
        <v>0</v>
      </c>
      <c r="H83" s="164">
        <f>+H81+H82</f>
        <v>39.03</v>
      </c>
      <c r="I83" s="13">
        <f t="shared" ref="I83:J83" si="41">+I81+I82</f>
        <v>85610186.525343806</v>
      </c>
      <c r="J83" s="256">
        <f t="shared" si="41"/>
        <v>33983951.112622187</v>
      </c>
      <c r="K83" s="75">
        <f t="shared" si="32"/>
        <v>0.39696153567615078</v>
      </c>
      <c r="L83" s="307">
        <f t="shared" si="39"/>
        <v>-7.25</v>
      </c>
      <c r="M83" s="98">
        <f t="shared" si="37"/>
        <v>-14986118.547364235</v>
      </c>
      <c r="N83" s="300">
        <f t="shared" si="38"/>
        <v>-3954765.169162415</v>
      </c>
      <c r="O83" s="5"/>
      <c r="P83" s="5"/>
      <c r="Q83" s="5"/>
    </row>
    <row r="84" spans="1:17" x14ac:dyDescent="0.3">
      <c r="A84" s="3"/>
      <c r="B84" s="3"/>
      <c r="C84" s="23"/>
      <c r="D84" s="23"/>
      <c r="E84" s="23"/>
      <c r="F84" s="204"/>
      <c r="G84" s="362"/>
      <c r="H84" s="151"/>
      <c r="I84" s="3"/>
      <c r="J84" s="3"/>
      <c r="K84" s="3"/>
      <c r="L84" s="3"/>
      <c r="M84" s="3"/>
      <c r="N84" s="3"/>
      <c r="O84" s="5"/>
      <c r="P84" s="5"/>
      <c r="Q84" s="5"/>
    </row>
    <row r="85" spans="1:17" x14ac:dyDescent="0.3">
      <c r="A85" s="3"/>
      <c r="B85" s="3"/>
      <c r="C85" s="23"/>
      <c r="D85" s="23"/>
      <c r="E85" s="23"/>
      <c r="F85" s="204"/>
      <c r="G85" s="362"/>
      <c r="H85" s="151"/>
      <c r="I85" s="3"/>
      <c r="J85" s="3"/>
      <c r="K85" s="3"/>
      <c r="L85" s="3"/>
      <c r="M85" s="3"/>
      <c r="N85" s="3"/>
      <c r="O85" s="5"/>
      <c r="P85" s="5"/>
      <c r="Q85" s="5"/>
    </row>
    <row r="86" spans="1:17" x14ac:dyDescent="0.3">
      <c r="A86" s="4" t="s">
        <v>226</v>
      </c>
      <c r="B86" s="4" t="s">
        <v>286</v>
      </c>
      <c r="C86" s="338" t="s">
        <v>228</v>
      </c>
      <c r="D86" s="338"/>
      <c r="E86" s="338"/>
      <c r="F86" s="338"/>
      <c r="G86" s="338"/>
      <c r="H86" s="336" t="s">
        <v>229</v>
      </c>
      <c r="I86" s="336"/>
      <c r="J86" s="339"/>
      <c r="K86" s="91"/>
      <c r="L86" s="337" t="s">
        <v>394</v>
      </c>
      <c r="M86" s="337"/>
      <c r="N86" s="337"/>
      <c r="O86" s="5"/>
      <c r="P86" s="5"/>
      <c r="Q86" s="5"/>
    </row>
    <row r="87" spans="1:17" x14ac:dyDescent="0.3">
      <c r="A87" s="5"/>
      <c r="B87" s="5"/>
      <c r="C87" s="6"/>
      <c r="D87" s="6"/>
      <c r="E87" s="6"/>
      <c r="F87" s="199"/>
      <c r="G87" s="7"/>
      <c r="H87" s="66"/>
      <c r="I87" s="5"/>
      <c r="J87" s="40"/>
      <c r="K87" s="91"/>
      <c r="L87" s="68"/>
      <c r="M87" s="5"/>
      <c r="N87" s="40"/>
      <c r="O87" s="5"/>
      <c r="P87" s="5"/>
      <c r="Q87" s="5"/>
    </row>
    <row r="88" spans="1:17" x14ac:dyDescent="0.3">
      <c r="A88" s="5" t="s">
        <v>230</v>
      </c>
      <c r="B88" s="5" t="s">
        <v>231</v>
      </c>
      <c r="C88" s="6" t="s">
        <v>232</v>
      </c>
      <c r="D88" s="6" t="s">
        <v>233</v>
      </c>
      <c r="E88" s="6" t="s">
        <v>234</v>
      </c>
      <c r="F88" s="199" t="s">
        <v>396</v>
      </c>
      <c r="G88" s="8"/>
      <c r="H88" s="141" t="s">
        <v>232</v>
      </c>
      <c r="I88" s="6" t="s">
        <v>233</v>
      </c>
      <c r="J88" s="252" t="s">
        <v>234</v>
      </c>
      <c r="K88" s="231" t="s">
        <v>396</v>
      </c>
      <c r="L88" s="306" t="s">
        <v>232</v>
      </c>
      <c r="M88" s="6" t="s">
        <v>233</v>
      </c>
      <c r="N88" s="252" t="s">
        <v>234</v>
      </c>
      <c r="O88" s="5"/>
      <c r="P88" s="5"/>
      <c r="Q88" s="5"/>
    </row>
    <row r="89" spans="1:17" x14ac:dyDescent="0.3">
      <c r="A89" s="5" t="s">
        <v>130</v>
      </c>
      <c r="B89" s="9" t="s">
        <v>236</v>
      </c>
      <c r="C89" s="10">
        <v>1</v>
      </c>
      <c r="D89" s="10">
        <v>1727749.3049999999</v>
      </c>
      <c r="E89" s="10">
        <v>663728.14563749987</v>
      </c>
      <c r="F89" s="197">
        <f t="shared" ref="F89:F134" si="42">+E89/D89</f>
        <v>0.38415766900713638</v>
      </c>
      <c r="G89" s="7"/>
      <c r="H89" s="142"/>
      <c r="I89" s="9"/>
      <c r="J89" s="253"/>
      <c r="K89" s="9"/>
      <c r="L89" s="68"/>
      <c r="M89" s="5"/>
      <c r="N89" s="40"/>
      <c r="O89" s="5"/>
      <c r="P89" s="5"/>
      <c r="Q89" s="5"/>
    </row>
    <row r="90" spans="1:17" x14ac:dyDescent="0.3">
      <c r="A90" s="5" t="s">
        <v>130</v>
      </c>
      <c r="B90" s="30" t="s">
        <v>287</v>
      </c>
      <c r="C90" s="30"/>
      <c r="D90" s="30"/>
      <c r="E90" s="30"/>
      <c r="F90" s="205"/>
      <c r="G90" s="8"/>
      <c r="H90" s="156">
        <v>0.5</v>
      </c>
      <c r="I90" s="32">
        <v>860000</v>
      </c>
      <c r="J90" s="262">
        <v>492200</v>
      </c>
      <c r="K90" s="246">
        <f t="shared" ref="K90:K91" si="43">+J90/I90</f>
        <v>0.57232558139534884</v>
      </c>
      <c r="L90" s="68"/>
      <c r="M90" s="5"/>
      <c r="N90" s="40"/>
      <c r="O90" s="5"/>
      <c r="P90" s="5"/>
      <c r="Q90" s="5"/>
    </row>
    <row r="91" spans="1:17" x14ac:dyDescent="0.3">
      <c r="A91" s="5" t="s">
        <v>130</v>
      </c>
      <c r="B91" s="30" t="s">
        <v>266</v>
      </c>
      <c r="C91" s="30"/>
      <c r="D91" s="30"/>
      <c r="E91" s="30"/>
      <c r="F91" s="205"/>
      <c r="G91" s="8"/>
      <c r="H91" s="156">
        <v>0.5</v>
      </c>
      <c r="I91" s="32">
        <v>24000</v>
      </c>
      <c r="J91" s="262">
        <v>15400</v>
      </c>
      <c r="K91" s="246">
        <f t="shared" si="43"/>
        <v>0.64166666666666672</v>
      </c>
      <c r="L91" s="68"/>
      <c r="M91" s="5"/>
      <c r="N91" s="40"/>
      <c r="O91" s="5"/>
      <c r="P91" s="5"/>
      <c r="Q91" s="5"/>
    </row>
    <row r="92" spans="1:17" x14ac:dyDescent="0.3">
      <c r="A92" s="5" t="s">
        <v>130</v>
      </c>
      <c r="B92" s="9" t="s">
        <v>237</v>
      </c>
      <c r="C92" s="10">
        <v>9</v>
      </c>
      <c r="D92" s="10">
        <v>20255206.68</v>
      </c>
      <c r="E92" s="10">
        <v>7788989.9696999975</v>
      </c>
      <c r="F92" s="197">
        <f t="shared" si="42"/>
        <v>0.38454260639023002</v>
      </c>
      <c r="G92" s="7"/>
      <c r="H92" s="142"/>
      <c r="I92" s="9"/>
      <c r="J92" s="253"/>
      <c r="K92" s="9"/>
      <c r="L92" s="68"/>
      <c r="M92" s="5"/>
      <c r="N92" s="40"/>
      <c r="O92" s="5"/>
      <c r="P92" s="5"/>
      <c r="Q92" s="5"/>
    </row>
    <row r="93" spans="1:17" x14ac:dyDescent="0.3">
      <c r="A93" s="5" t="s">
        <v>130</v>
      </c>
      <c r="B93" s="9" t="s">
        <v>267</v>
      </c>
      <c r="C93" s="10">
        <v>1</v>
      </c>
      <c r="D93" s="10">
        <v>1820620</v>
      </c>
      <c r="E93" s="10">
        <v>744521.35</v>
      </c>
      <c r="F93" s="197">
        <f t="shared" si="42"/>
        <v>0.40893835616438357</v>
      </c>
      <c r="G93" s="7"/>
      <c r="H93" s="142">
        <v>1</v>
      </c>
      <c r="I93" s="10">
        <v>1778280</v>
      </c>
      <c r="J93" s="254">
        <v>767218.2</v>
      </c>
      <c r="K93" s="210">
        <f t="shared" ref="K93" si="44">+J93/I93</f>
        <v>0.43143835616438353</v>
      </c>
      <c r="L93" s="68"/>
      <c r="M93" s="5"/>
      <c r="N93" s="40"/>
      <c r="O93" s="5"/>
      <c r="P93" s="5"/>
      <c r="Q93" s="5"/>
    </row>
    <row r="94" spans="1:17" x14ac:dyDescent="0.3">
      <c r="A94" s="5" t="s">
        <v>130</v>
      </c>
      <c r="B94" s="9" t="s">
        <v>238</v>
      </c>
      <c r="C94" s="10">
        <v>2.25</v>
      </c>
      <c r="D94" s="10">
        <v>4303041.3288000003</v>
      </c>
      <c r="E94" s="10">
        <v>1273121.6629020001</v>
      </c>
      <c r="F94" s="197">
        <f t="shared" si="42"/>
        <v>0.2958655438378136</v>
      </c>
      <c r="G94" s="7"/>
      <c r="H94" s="142"/>
      <c r="I94" s="9"/>
      <c r="J94" s="253"/>
      <c r="K94" s="9"/>
      <c r="L94" s="68"/>
      <c r="M94" s="5"/>
      <c r="N94" s="40"/>
      <c r="O94" s="5"/>
      <c r="P94" s="5"/>
      <c r="Q94" s="5"/>
    </row>
    <row r="95" spans="1:17" x14ac:dyDescent="0.3">
      <c r="A95" s="5" t="s">
        <v>130</v>
      </c>
      <c r="B95" s="30" t="s">
        <v>288</v>
      </c>
      <c r="C95" s="33"/>
      <c r="D95" s="33"/>
      <c r="E95" s="33"/>
      <c r="F95" s="206"/>
      <c r="G95" s="7"/>
      <c r="H95" s="165">
        <v>2.25</v>
      </c>
      <c r="I95" s="33">
        <v>3043295.7250000001</v>
      </c>
      <c r="J95" s="195">
        <v>744517.87618750008</v>
      </c>
      <c r="K95" s="246">
        <f t="shared" ref="K95" si="45">+J95/I95</f>
        <v>0.24464197484045033</v>
      </c>
      <c r="L95" s="68"/>
      <c r="M95" s="5"/>
      <c r="N95" s="40"/>
      <c r="O95" s="5"/>
      <c r="P95" s="5"/>
      <c r="Q95" s="5"/>
    </row>
    <row r="96" spans="1:17" x14ac:dyDescent="0.3">
      <c r="A96" s="5" t="s">
        <v>130</v>
      </c>
      <c r="B96" s="81" t="s">
        <v>239</v>
      </c>
      <c r="C96" s="82">
        <v>2</v>
      </c>
      <c r="D96" s="83">
        <v>4923285</v>
      </c>
      <c r="E96" s="83">
        <v>1870972</v>
      </c>
      <c r="F96" s="212">
        <f t="shared" si="42"/>
        <v>0.38002512550055501</v>
      </c>
      <c r="G96" s="7"/>
      <c r="H96" s="142"/>
      <c r="I96" s="9"/>
      <c r="J96" s="253"/>
      <c r="K96" s="9"/>
      <c r="L96" s="68"/>
      <c r="M96" s="5"/>
      <c r="N96" s="40"/>
      <c r="O96" s="5"/>
      <c r="P96" s="5"/>
      <c r="Q96" s="5"/>
    </row>
    <row r="97" spans="1:17" x14ac:dyDescent="0.3">
      <c r="A97" s="5" t="s">
        <v>130</v>
      </c>
      <c r="B97" s="30" t="s">
        <v>289</v>
      </c>
      <c r="C97" s="33"/>
      <c r="D97" s="33"/>
      <c r="E97" s="33"/>
      <c r="F97" s="206"/>
      <c r="G97" s="7"/>
      <c r="H97" s="156">
        <v>4.5</v>
      </c>
      <c r="I97" s="35">
        <v>20075090</v>
      </c>
      <c r="J97" s="263">
        <v>11455902</v>
      </c>
      <c r="K97" s="246">
        <f t="shared" ref="K97:K100" si="46">+J97/I97</f>
        <v>0.57065258487010517</v>
      </c>
      <c r="L97" s="68"/>
      <c r="M97" s="5"/>
      <c r="N97" s="40"/>
      <c r="O97" s="5"/>
      <c r="P97" s="5"/>
      <c r="Q97" s="5"/>
    </row>
    <row r="98" spans="1:17" x14ac:dyDescent="0.3">
      <c r="A98" s="5" t="s">
        <v>130</v>
      </c>
      <c r="B98" s="30" t="s">
        <v>289</v>
      </c>
      <c r="C98" s="33"/>
      <c r="D98" s="33"/>
      <c r="E98" s="33"/>
      <c r="F98" s="206"/>
      <c r="G98" s="7"/>
      <c r="H98" s="166">
        <v>2.25</v>
      </c>
      <c r="I98" s="35">
        <v>8506394.0677966103</v>
      </c>
      <c r="J98" s="263">
        <v>4292497.0885593221</v>
      </c>
      <c r="K98" s="246">
        <f t="shared" si="46"/>
        <v>0.50462006043310392</v>
      </c>
      <c r="L98" s="68"/>
      <c r="M98" s="5"/>
      <c r="N98" s="40"/>
      <c r="O98" s="5"/>
      <c r="P98" s="5"/>
      <c r="Q98" s="5"/>
    </row>
    <row r="99" spans="1:17" s="37" customFormat="1" x14ac:dyDescent="0.3">
      <c r="A99" s="4" t="s">
        <v>241</v>
      </c>
      <c r="B99" s="4"/>
      <c r="C99" s="13">
        <f>SUM(C89:C98)</f>
        <v>15.25</v>
      </c>
      <c r="D99" s="13">
        <f>SUM(D89:D98)</f>
        <v>33029902.3138</v>
      </c>
      <c r="E99" s="13">
        <f>SUM(E89:E98)</f>
        <v>12341333.128239496</v>
      </c>
      <c r="F99" s="200">
        <f t="shared" si="42"/>
        <v>0.37364122397307992</v>
      </c>
      <c r="G99" s="48"/>
      <c r="H99" s="150">
        <f>SUM(H89:H98)</f>
        <v>11</v>
      </c>
      <c r="I99" s="13">
        <f>SUM(I89:I98)</f>
        <v>34287059.792796612</v>
      </c>
      <c r="J99" s="256">
        <f>SUM(J89:J98)</f>
        <v>17767735.164746821</v>
      </c>
      <c r="K99" s="75">
        <f t="shared" si="46"/>
        <v>0.51820527254657323</v>
      </c>
      <c r="L99" s="307">
        <f>+H99-C99</f>
        <v>-4.25</v>
      </c>
      <c r="M99" s="98">
        <f t="shared" ref="M99" si="47">+I99-D99</f>
        <v>1257157.4789966121</v>
      </c>
      <c r="N99" s="300">
        <f t="shared" ref="N99" si="48">+J99-E99</f>
        <v>5426402.0365073252</v>
      </c>
      <c r="O99" s="4"/>
      <c r="P99" s="4"/>
      <c r="Q99" s="4"/>
    </row>
    <row r="100" spans="1:17" x14ac:dyDescent="0.3">
      <c r="A100" s="5" t="s">
        <v>137</v>
      </c>
      <c r="B100" s="9" t="s">
        <v>290</v>
      </c>
      <c r="C100" s="10">
        <v>2.25</v>
      </c>
      <c r="D100" s="10">
        <v>3703488.75</v>
      </c>
      <c r="E100" s="10">
        <v>1179413.253125</v>
      </c>
      <c r="F100" s="197">
        <f t="shared" si="42"/>
        <v>0.31846006096953855</v>
      </c>
      <c r="G100" s="7"/>
      <c r="H100" s="142">
        <v>1.6</v>
      </c>
      <c r="I100" s="99">
        <v>2590616.1016949154</v>
      </c>
      <c r="J100" s="270">
        <v>442731.77940677991</v>
      </c>
      <c r="K100" s="210">
        <f t="shared" si="46"/>
        <v>0.17089825818542617</v>
      </c>
      <c r="L100" s="68"/>
      <c r="M100" s="5"/>
      <c r="N100" s="40"/>
      <c r="O100" s="5"/>
      <c r="P100" s="5"/>
      <c r="Q100" s="5"/>
    </row>
    <row r="101" spans="1:17" x14ac:dyDescent="0.3">
      <c r="A101" s="5" t="s">
        <v>137</v>
      </c>
      <c r="B101" s="9" t="s">
        <v>291</v>
      </c>
      <c r="C101" s="10">
        <v>4.5</v>
      </c>
      <c r="D101" s="10">
        <v>8334548.9749432821</v>
      </c>
      <c r="E101" s="10">
        <v>4041642.6230070586</v>
      </c>
      <c r="F101" s="197">
        <f t="shared" si="42"/>
        <v>0.48492637515931841</v>
      </c>
      <c r="G101" s="7"/>
      <c r="H101" s="142"/>
      <c r="I101" s="9"/>
      <c r="J101" s="253"/>
      <c r="K101" s="9"/>
      <c r="L101" s="68"/>
      <c r="M101" s="5"/>
      <c r="N101" s="40"/>
      <c r="O101" s="5"/>
      <c r="P101" s="5"/>
      <c r="Q101" s="5"/>
    </row>
    <row r="102" spans="1:17" x14ac:dyDescent="0.3">
      <c r="A102" s="5" t="s">
        <v>137</v>
      </c>
      <c r="B102" s="9" t="s">
        <v>292</v>
      </c>
      <c r="C102" s="10">
        <v>4.5</v>
      </c>
      <c r="D102" s="10">
        <v>7160875.2000000002</v>
      </c>
      <c r="E102" s="10">
        <v>3242432.3079999997</v>
      </c>
      <c r="F102" s="197">
        <f t="shared" si="42"/>
        <v>0.4527983266626403</v>
      </c>
      <c r="G102" s="7"/>
      <c r="H102" s="142"/>
      <c r="I102" s="9"/>
      <c r="J102" s="253"/>
      <c r="K102" s="9"/>
      <c r="L102" s="68"/>
      <c r="M102" s="5"/>
      <c r="N102" s="40"/>
      <c r="O102" s="5"/>
      <c r="P102" s="5"/>
      <c r="Q102" s="5"/>
    </row>
    <row r="103" spans="1:17" x14ac:dyDescent="0.3">
      <c r="A103" s="5" t="s">
        <v>137</v>
      </c>
      <c r="B103" s="9" t="s">
        <v>293</v>
      </c>
      <c r="C103" s="10">
        <v>1</v>
      </c>
      <c r="D103" s="10">
        <v>4731709.5</v>
      </c>
      <c r="E103" s="10">
        <v>2702275.0362499999</v>
      </c>
      <c r="F103" s="197">
        <f t="shared" si="42"/>
        <v>0.57109909986020901</v>
      </c>
      <c r="G103" s="7"/>
      <c r="H103" s="167"/>
      <c r="I103" s="38"/>
      <c r="J103" s="271"/>
      <c r="K103" s="9"/>
      <c r="L103" s="68"/>
      <c r="M103" s="5"/>
      <c r="N103" s="40"/>
      <c r="O103" s="5"/>
      <c r="P103" s="5"/>
      <c r="Q103" s="5"/>
    </row>
    <row r="104" spans="1:17" x14ac:dyDescent="0.3">
      <c r="A104" s="5" t="s">
        <v>137</v>
      </c>
      <c r="B104" s="9" t="s">
        <v>294</v>
      </c>
      <c r="C104" s="10">
        <v>2.25</v>
      </c>
      <c r="D104" s="10">
        <v>5222347.920512055</v>
      </c>
      <c r="E104" s="10">
        <v>1611502.6923005339</v>
      </c>
      <c r="F104" s="197">
        <f t="shared" si="42"/>
        <v>0.30857819448814605</v>
      </c>
      <c r="G104" s="7"/>
      <c r="H104" s="168"/>
      <c r="I104" s="73"/>
      <c r="J104" s="272"/>
      <c r="K104" s="9"/>
      <c r="L104" s="68"/>
      <c r="M104" s="5"/>
      <c r="N104" s="40"/>
      <c r="O104" s="5"/>
      <c r="P104" s="5"/>
      <c r="Q104" s="5"/>
    </row>
    <row r="105" spans="1:17" x14ac:dyDescent="0.3">
      <c r="A105" s="5" t="s">
        <v>137</v>
      </c>
      <c r="B105" s="54" t="s">
        <v>295</v>
      </c>
      <c r="C105" s="54"/>
      <c r="D105" s="55"/>
      <c r="E105" s="55"/>
      <c r="F105" s="213"/>
      <c r="G105" s="69"/>
      <c r="H105" s="169">
        <v>0.5</v>
      </c>
      <c r="I105" s="55">
        <v>1459075.2000000002</v>
      </c>
      <c r="J105" s="273">
        <v>698935.97800000012</v>
      </c>
      <c r="K105" s="246">
        <f t="shared" ref="K105:K110" si="49">+J105/I105</f>
        <v>0.4790266999260902</v>
      </c>
      <c r="L105" s="68"/>
      <c r="M105" s="5"/>
      <c r="N105" s="40"/>
      <c r="O105" s="5"/>
      <c r="P105" s="5"/>
      <c r="Q105" s="5"/>
    </row>
    <row r="106" spans="1:17" x14ac:dyDescent="0.3">
      <c r="A106" s="5" t="s">
        <v>137</v>
      </c>
      <c r="B106" s="16" t="s">
        <v>296</v>
      </c>
      <c r="C106" s="16"/>
      <c r="D106" s="33"/>
      <c r="E106" s="33"/>
      <c r="F106" s="214"/>
      <c r="G106" s="70"/>
      <c r="H106" s="169">
        <v>1</v>
      </c>
      <c r="I106" s="71">
        <v>3035392.7467409996</v>
      </c>
      <c r="J106" s="274">
        <v>1539956.499742327</v>
      </c>
      <c r="K106" s="246">
        <f t="shared" si="49"/>
        <v>0.50733352426822764</v>
      </c>
      <c r="L106" s="68"/>
      <c r="M106" s="5"/>
      <c r="N106" s="40"/>
      <c r="O106" s="5"/>
      <c r="P106" s="5"/>
      <c r="Q106" s="5"/>
    </row>
    <row r="107" spans="1:17" x14ac:dyDescent="0.3">
      <c r="A107" s="5" t="s">
        <v>137</v>
      </c>
      <c r="B107" s="16" t="s">
        <v>297</v>
      </c>
      <c r="C107" s="33"/>
      <c r="D107" s="33"/>
      <c r="E107" s="33"/>
      <c r="F107" s="214"/>
      <c r="G107" s="70"/>
      <c r="H107" s="170">
        <v>2.25</v>
      </c>
      <c r="I107" s="72">
        <v>5897537.3557759998</v>
      </c>
      <c r="J107" s="275">
        <v>2783264.3793750396</v>
      </c>
      <c r="K107" s="246">
        <f t="shared" si="49"/>
        <v>0.47193671043882973</v>
      </c>
      <c r="L107" s="68"/>
      <c r="M107" s="5"/>
      <c r="N107" s="40"/>
      <c r="O107" s="5"/>
      <c r="P107" s="5"/>
      <c r="Q107" s="5"/>
    </row>
    <row r="108" spans="1:17" x14ac:dyDescent="0.3">
      <c r="A108" s="5" t="s">
        <v>137</v>
      </c>
      <c r="B108" s="16" t="s">
        <v>297</v>
      </c>
      <c r="C108" s="33"/>
      <c r="D108" s="33"/>
      <c r="E108" s="33"/>
      <c r="F108" s="214"/>
      <c r="G108" s="70"/>
      <c r="H108" s="170">
        <v>2.25</v>
      </c>
      <c r="I108" s="72">
        <v>5012854.6735080006</v>
      </c>
      <c r="J108" s="275">
        <v>2417115.7349610706</v>
      </c>
      <c r="K108" s="246">
        <f t="shared" si="49"/>
        <v>0.48218348473876077</v>
      </c>
      <c r="L108" s="309"/>
      <c r="M108" s="5"/>
      <c r="N108" s="40"/>
      <c r="O108" s="5"/>
      <c r="P108" s="5"/>
      <c r="Q108" s="5"/>
    </row>
    <row r="109" spans="1:17" x14ac:dyDescent="0.3">
      <c r="A109" s="5" t="s">
        <v>137</v>
      </c>
      <c r="B109" s="16" t="s">
        <v>298</v>
      </c>
      <c r="C109" s="33"/>
      <c r="D109" s="33"/>
      <c r="E109" s="33"/>
      <c r="F109" s="214"/>
      <c r="G109" s="70"/>
      <c r="H109" s="170">
        <v>0.1</v>
      </c>
      <c r="I109" s="72">
        <v>166958.8316</v>
      </c>
      <c r="J109" s="275">
        <v>37201.950664999982</v>
      </c>
      <c r="K109" s="246">
        <f t="shared" si="49"/>
        <v>0.22282110091743107</v>
      </c>
      <c r="L109" s="68"/>
      <c r="M109" s="5"/>
      <c r="N109" s="40"/>
      <c r="O109" s="5"/>
      <c r="P109" s="5"/>
      <c r="Q109" s="5"/>
    </row>
    <row r="110" spans="1:17" s="37" customFormat="1" x14ac:dyDescent="0.3">
      <c r="A110" s="4" t="s">
        <v>245</v>
      </c>
      <c r="B110" s="4"/>
      <c r="C110" s="13">
        <f>SUM(C100:C109)</f>
        <v>14.5</v>
      </c>
      <c r="D110" s="13">
        <f>SUM(D100:D109)</f>
        <v>29152970.345455337</v>
      </c>
      <c r="E110" s="13">
        <f>SUM(E100:E109)</f>
        <v>12777265.912682591</v>
      </c>
      <c r="F110" s="200">
        <f t="shared" si="42"/>
        <v>0.43828350117587389</v>
      </c>
      <c r="G110" s="48"/>
      <c r="H110" s="150">
        <f>SUM(H100:H109)</f>
        <v>7.6999999999999993</v>
      </c>
      <c r="I110" s="13">
        <f>SUM(I100:I109)</f>
        <v>18162434.909319915</v>
      </c>
      <c r="J110" s="256">
        <f>SUM(J100:J109)</f>
        <v>7919206.3221502164</v>
      </c>
      <c r="K110" s="92">
        <f t="shared" si="49"/>
        <v>0.43602118117359562</v>
      </c>
      <c r="L110" s="307">
        <f>+H110-C110</f>
        <v>-6.8000000000000007</v>
      </c>
      <c r="M110" s="98">
        <f t="shared" ref="M110" si="50">+I110-D110</f>
        <v>-10990535.436135422</v>
      </c>
      <c r="N110" s="300">
        <f t="shared" ref="N110" si="51">+J110-E110</f>
        <v>-4858059.5905323746</v>
      </c>
      <c r="O110" s="4"/>
      <c r="P110" s="4"/>
      <c r="Q110" s="4"/>
    </row>
    <row r="111" spans="1:17" x14ac:dyDescent="0.3">
      <c r="A111" s="5" t="s">
        <v>115</v>
      </c>
      <c r="B111" s="9" t="s">
        <v>277</v>
      </c>
      <c r="C111" s="10">
        <v>0.6</v>
      </c>
      <c r="D111" s="10">
        <v>789315.84</v>
      </c>
      <c r="E111" s="10">
        <v>290205.63359999994</v>
      </c>
      <c r="F111" s="197">
        <f t="shared" si="42"/>
        <v>0.3676673124917903</v>
      </c>
      <c r="G111" s="7"/>
      <c r="H111" s="142"/>
      <c r="I111" s="57"/>
      <c r="J111" s="276"/>
      <c r="K111" s="9"/>
      <c r="L111" s="68"/>
      <c r="M111" s="5"/>
      <c r="N111" s="40"/>
      <c r="O111" s="5"/>
      <c r="P111" s="5"/>
      <c r="Q111" s="5"/>
    </row>
    <row r="112" spans="1:17" x14ac:dyDescent="0.3">
      <c r="A112" s="5" t="s">
        <v>115</v>
      </c>
      <c r="B112" s="9" t="s">
        <v>299</v>
      </c>
      <c r="C112" s="9">
        <v>1</v>
      </c>
      <c r="D112" s="9">
        <v>2310350</v>
      </c>
      <c r="E112" s="9">
        <v>1106680</v>
      </c>
      <c r="F112" s="210">
        <f t="shared" si="42"/>
        <v>0.47900967385893911</v>
      </c>
      <c r="G112" s="7"/>
      <c r="H112" s="142"/>
      <c r="I112" s="57"/>
      <c r="J112" s="276"/>
      <c r="K112" s="9"/>
      <c r="L112" s="68"/>
      <c r="M112" s="5"/>
      <c r="N112" s="40"/>
      <c r="O112" s="5"/>
      <c r="P112" s="5"/>
      <c r="Q112" s="5"/>
    </row>
    <row r="113" spans="1:17" x14ac:dyDescent="0.3">
      <c r="A113" s="5" t="s">
        <v>115</v>
      </c>
      <c r="B113" s="9" t="s">
        <v>300</v>
      </c>
      <c r="C113" s="10">
        <v>1.8</v>
      </c>
      <c r="D113" s="10">
        <v>2988438.3000000003</v>
      </c>
      <c r="E113" s="10">
        <v>1186108.4382499999</v>
      </c>
      <c r="F113" s="197">
        <f t="shared" si="42"/>
        <v>0.39689908881505093</v>
      </c>
      <c r="G113" s="7"/>
      <c r="H113" s="142"/>
      <c r="I113" s="9"/>
      <c r="J113" s="253"/>
      <c r="K113" s="9"/>
      <c r="L113" s="68"/>
      <c r="M113" s="5"/>
      <c r="N113" s="40"/>
      <c r="O113" s="5"/>
      <c r="P113" s="5"/>
      <c r="Q113" s="5"/>
    </row>
    <row r="114" spans="1:17" x14ac:dyDescent="0.3">
      <c r="A114" s="5" t="s">
        <v>115</v>
      </c>
      <c r="B114" s="84" t="s">
        <v>301</v>
      </c>
      <c r="C114" s="85">
        <v>1</v>
      </c>
      <c r="D114" s="86">
        <v>2434084</v>
      </c>
      <c r="E114" s="86">
        <v>435317</v>
      </c>
      <c r="F114" s="215">
        <f t="shared" si="42"/>
        <v>0.17884222565860505</v>
      </c>
      <c r="G114" s="7"/>
      <c r="H114" s="142"/>
      <c r="I114" s="9"/>
      <c r="J114" s="253"/>
      <c r="K114" s="9"/>
      <c r="L114" s="68"/>
      <c r="M114" s="5"/>
      <c r="N114" s="40"/>
      <c r="O114" s="5"/>
      <c r="P114" s="5"/>
      <c r="Q114" s="5"/>
    </row>
    <row r="115" spans="1:17" x14ac:dyDescent="0.3">
      <c r="A115" s="5" t="s">
        <v>115</v>
      </c>
      <c r="B115" s="16" t="s">
        <v>302</v>
      </c>
      <c r="C115" s="17"/>
      <c r="D115" s="17"/>
      <c r="E115" s="17"/>
      <c r="F115" s="201"/>
      <c r="G115" s="7"/>
      <c r="H115" s="188">
        <v>1</v>
      </c>
      <c r="I115" s="189">
        <v>5670736.1271186434</v>
      </c>
      <c r="J115" s="277">
        <v>1856954.3142584739</v>
      </c>
      <c r="K115" s="246">
        <f t="shared" ref="K115:K117" si="52">+J115/I115</f>
        <v>0.32746265610528602</v>
      </c>
      <c r="L115" s="68"/>
      <c r="M115" s="5"/>
      <c r="N115" s="40"/>
      <c r="O115" s="5"/>
      <c r="P115" s="5"/>
      <c r="Q115" s="5"/>
    </row>
    <row r="116" spans="1:17" x14ac:dyDescent="0.3">
      <c r="A116" s="5" t="s">
        <v>115</v>
      </c>
      <c r="B116" s="16" t="s">
        <v>303</v>
      </c>
      <c r="C116" s="16"/>
      <c r="D116" s="16"/>
      <c r="E116" s="16"/>
      <c r="F116" s="216"/>
      <c r="G116" s="7"/>
      <c r="H116" s="171">
        <v>0.9</v>
      </c>
      <c r="I116" s="45">
        <v>823897.60000000009</v>
      </c>
      <c r="J116" s="265">
        <v>227883.44400000013</v>
      </c>
      <c r="K116" s="246">
        <f t="shared" si="52"/>
        <v>0.27659195026178024</v>
      </c>
      <c r="L116" s="68"/>
      <c r="M116" s="5"/>
      <c r="N116" s="40"/>
      <c r="O116" s="5"/>
      <c r="P116" s="5"/>
      <c r="Q116" s="5"/>
    </row>
    <row r="117" spans="1:17" s="37" customFormat="1" x14ac:dyDescent="0.3">
      <c r="A117" s="4" t="s">
        <v>249</v>
      </c>
      <c r="B117" s="4"/>
      <c r="C117" s="13">
        <f>SUM(C111:C116)</f>
        <v>4.4000000000000004</v>
      </c>
      <c r="D117" s="13">
        <f>SUM(D111:D116)</f>
        <v>8522188.1400000006</v>
      </c>
      <c r="E117" s="13">
        <f>SUM(E111:E116)</f>
        <v>3018311.0718499999</v>
      </c>
      <c r="F117" s="200">
        <f t="shared" si="42"/>
        <v>0.35417090332507017</v>
      </c>
      <c r="G117" s="48"/>
      <c r="H117" s="150">
        <f>SUM(H111:H116)</f>
        <v>1.9</v>
      </c>
      <c r="I117" s="13">
        <f>SUM(I111:I116)</f>
        <v>6494633.727118643</v>
      </c>
      <c r="J117" s="256">
        <f>SUM(J111:J116)</f>
        <v>2084837.7582584741</v>
      </c>
      <c r="K117" s="92">
        <f t="shared" si="52"/>
        <v>0.32100928949282204</v>
      </c>
      <c r="L117" s="307">
        <f>+H117-C117</f>
        <v>-2.5000000000000004</v>
      </c>
      <c r="M117" s="98">
        <f t="shared" ref="M117" si="53">+I117-D117</f>
        <v>-2027554.4128813576</v>
      </c>
      <c r="N117" s="300">
        <f t="shared" ref="N117" si="54">+J117-E117</f>
        <v>-933473.31359152589</v>
      </c>
      <c r="O117" s="4"/>
      <c r="P117" s="4"/>
      <c r="Q117" s="4"/>
    </row>
    <row r="118" spans="1:17" s="37" customFormat="1" x14ac:dyDescent="0.3">
      <c r="A118" s="5" t="s">
        <v>127</v>
      </c>
      <c r="B118" s="11" t="s">
        <v>250</v>
      </c>
      <c r="C118" s="19">
        <v>1.25</v>
      </c>
      <c r="D118" s="19">
        <v>3549341.0249999994</v>
      </c>
      <c r="E118" s="19">
        <v>1726500.6519374999</v>
      </c>
      <c r="F118" s="202">
        <f t="shared" si="42"/>
        <v>0.48642850596118758</v>
      </c>
      <c r="G118" s="48"/>
      <c r="H118" s="162">
        <v>0.65</v>
      </c>
      <c r="I118" s="29">
        <v>2330697</v>
      </c>
      <c r="J118" s="261">
        <v>835500</v>
      </c>
      <c r="K118" s="245">
        <f t="shared" ref="K118:K119" si="55">+J118/I118</f>
        <v>0.35847645575551007</v>
      </c>
      <c r="L118" s="308"/>
      <c r="M118" s="4"/>
      <c r="N118" s="269"/>
      <c r="O118" s="4"/>
      <c r="P118" s="4"/>
      <c r="Q118" s="4"/>
    </row>
    <row r="119" spans="1:17" s="37" customFormat="1" x14ac:dyDescent="0.3">
      <c r="A119" s="5" t="s">
        <v>127</v>
      </c>
      <c r="B119" s="11" t="s">
        <v>252</v>
      </c>
      <c r="C119" s="19">
        <v>0.2</v>
      </c>
      <c r="D119" s="19">
        <v>303824.25</v>
      </c>
      <c r="E119" s="19">
        <v>125707.5</v>
      </c>
      <c r="F119" s="202">
        <f t="shared" si="42"/>
        <v>0.41375071278872572</v>
      </c>
      <c r="G119" s="48"/>
      <c r="H119" s="162">
        <v>6.75</v>
      </c>
      <c r="I119" s="87">
        <v>12268926</v>
      </c>
      <c r="J119" s="278">
        <v>4486586</v>
      </c>
      <c r="K119" s="245">
        <f t="shared" si="55"/>
        <v>0.3656869395088046</v>
      </c>
      <c r="L119" s="308"/>
      <c r="M119" s="4"/>
      <c r="N119" s="269"/>
      <c r="O119" s="4"/>
      <c r="P119" s="4"/>
      <c r="Q119" s="4"/>
    </row>
    <row r="120" spans="1:17" s="37" customFormat="1" x14ac:dyDescent="0.3">
      <c r="A120" s="5" t="s">
        <v>127</v>
      </c>
      <c r="B120" s="9" t="s">
        <v>285</v>
      </c>
      <c r="C120" s="20">
        <v>0.1</v>
      </c>
      <c r="D120" s="20">
        <v>147052.80000000002</v>
      </c>
      <c r="E120" s="20">
        <v>88042.112000000023</v>
      </c>
      <c r="F120" s="203">
        <f t="shared" si="42"/>
        <v>0.5987108847978414</v>
      </c>
      <c r="G120" s="48"/>
      <c r="H120" s="172"/>
      <c r="I120" s="50"/>
      <c r="J120" s="267"/>
      <c r="K120" s="9"/>
      <c r="L120" s="308"/>
      <c r="M120" s="4"/>
      <c r="N120" s="269"/>
      <c r="O120" s="4"/>
      <c r="P120" s="4"/>
      <c r="Q120" s="4"/>
    </row>
    <row r="121" spans="1:17" s="37" customFormat="1" x14ac:dyDescent="0.3">
      <c r="A121" s="5" t="s">
        <v>127</v>
      </c>
      <c r="B121" s="11" t="s">
        <v>304</v>
      </c>
      <c r="C121" s="19">
        <v>2.25</v>
      </c>
      <c r="D121" s="19">
        <v>5145730.2</v>
      </c>
      <c r="E121" s="19">
        <v>1298160.8704999995</v>
      </c>
      <c r="F121" s="202">
        <f t="shared" si="42"/>
        <v>0.25227923347011072</v>
      </c>
      <c r="G121" s="48"/>
      <c r="H121" s="162">
        <v>2.25</v>
      </c>
      <c r="I121" s="47">
        <v>5727771.2249999996</v>
      </c>
      <c r="J121" s="266">
        <v>1867104.3661874994</v>
      </c>
      <c r="K121" s="245">
        <f t="shared" ref="K121" si="56">+J121/I121</f>
        <v>0.32597397710965653</v>
      </c>
      <c r="L121" s="308"/>
      <c r="M121" s="4"/>
      <c r="N121" s="269"/>
      <c r="O121" s="4"/>
      <c r="P121" s="4"/>
      <c r="Q121" s="4"/>
    </row>
    <row r="122" spans="1:17" s="37" customFormat="1" x14ac:dyDescent="0.3">
      <c r="A122" s="5" t="s">
        <v>127</v>
      </c>
      <c r="B122" s="9" t="s">
        <v>254</v>
      </c>
      <c r="C122" s="20">
        <v>2.25</v>
      </c>
      <c r="D122" s="20">
        <v>5680471.1040000003</v>
      </c>
      <c r="E122" s="20">
        <v>1201684.5041599998</v>
      </c>
      <c r="F122" s="203">
        <f t="shared" si="42"/>
        <v>0.21154662741155628</v>
      </c>
      <c r="G122" s="48"/>
      <c r="H122" s="172"/>
      <c r="I122" s="50"/>
      <c r="J122" s="267"/>
      <c r="K122" s="9"/>
      <c r="L122" s="308"/>
      <c r="M122" s="4"/>
      <c r="N122" s="269"/>
      <c r="O122" s="4"/>
      <c r="P122" s="4"/>
      <c r="Q122" s="4"/>
    </row>
    <row r="123" spans="1:17" s="37" customFormat="1" x14ac:dyDescent="0.3">
      <c r="A123" s="5" t="s">
        <v>127</v>
      </c>
      <c r="B123" s="11" t="s">
        <v>305</v>
      </c>
      <c r="C123" s="19">
        <v>2.25</v>
      </c>
      <c r="D123" s="19">
        <v>6166528.1370000001</v>
      </c>
      <c r="E123" s="19">
        <v>2645181.9539175006</v>
      </c>
      <c r="F123" s="202">
        <f t="shared" si="42"/>
        <v>0.42895806118941587</v>
      </c>
      <c r="G123" s="48"/>
      <c r="H123" s="162">
        <v>2.25</v>
      </c>
      <c r="I123" s="47">
        <v>5500706</v>
      </c>
      <c r="J123" s="266">
        <v>2083712</v>
      </c>
      <c r="K123" s="245">
        <f t="shared" ref="K123:K124" si="57">+J123/I123</f>
        <v>0.37880810208725935</v>
      </c>
      <c r="L123" s="308"/>
      <c r="M123" s="4"/>
      <c r="N123" s="269"/>
      <c r="O123" s="4"/>
      <c r="P123" s="4"/>
      <c r="Q123" s="4"/>
    </row>
    <row r="124" spans="1:17" s="37" customFormat="1" x14ac:dyDescent="0.3">
      <c r="A124" s="5" t="s">
        <v>127</v>
      </c>
      <c r="B124" s="11" t="s">
        <v>306</v>
      </c>
      <c r="C124" s="88">
        <v>2.25</v>
      </c>
      <c r="D124" s="19">
        <v>2916371.25</v>
      </c>
      <c r="E124" s="19">
        <v>1088390.7593750004</v>
      </c>
      <c r="F124" s="202">
        <f t="shared" si="42"/>
        <v>0.37320034593503842</v>
      </c>
      <c r="G124" s="48"/>
      <c r="H124" s="162">
        <v>2.25</v>
      </c>
      <c r="I124" s="47">
        <v>2957403</v>
      </c>
      <c r="J124" s="266">
        <v>1368800.0525000002</v>
      </c>
      <c r="K124" s="245">
        <f t="shared" si="57"/>
        <v>0.4628385284318709</v>
      </c>
      <c r="L124" s="308"/>
      <c r="M124" s="4"/>
      <c r="N124" s="269"/>
      <c r="O124" s="4"/>
      <c r="P124" s="4"/>
      <c r="Q124" s="4"/>
    </row>
    <row r="125" spans="1:17" s="37" customFormat="1" x14ac:dyDescent="0.3">
      <c r="A125" s="5" t="s">
        <v>127</v>
      </c>
      <c r="B125" s="9" t="s">
        <v>255</v>
      </c>
      <c r="C125" s="20">
        <v>0.4</v>
      </c>
      <c r="D125" s="20">
        <v>407655.44999999995</v>
      </c>
      <c r="E125" s="20">
        <v>212570.20237499999</v>
      </c>
      <c r="F125" s="203">
        <f t="shared" si="42"/>
        <v>0.52144575124654902</v>
      </c>
      <c r="G125" s="48"/>
      <c r="H125" s="172"/>
      <c r="I125" s="50"/>
      <c r="J125" s="267"/>
      <c r="K125" s="9"/>
      <c r="L125" s="308"/>
      <c r="M125" s="4"/>
      <c r="N125" s="269"/>
      <c r="O125" s="4"/>
      <c r="P125" s="4"/>
      <c r="Q125" s="4"/>
    </row>
    <row r="126" spans="1:17" s="37" customFormat="1" x14ac:dyDescent="0.3">
      <c r="A126" s="5" t="s">
        <v>127</v>
      </c>
      <c r="B126" s="51" t="s">
        <v>225</v>
      </c>
      <c r="C126" s="52"/>
      <c r="D126" s="52"/>
      <c r="E126" s="52"/>
      <c r="F126" s="217"/>
      <c r="G126" s="48"/>
      <c r="H126" s="173">
        <v>0.1</v>
      </c>
      <c r="I126" s="53">
        <v>168000</v>
      </c>
      <c r="J126" s="279">
        <v>37500</v>
      </c>
      <c r="K126" s="246">
        <f t="shared" ref="K126:K128" si="58">+J126/I126</f>
        <v>0.22321428571428573</v>
      </c>
      <c r="L126" s="308"/>
      <c r="M126" s="4"/>
      <c r="N126" s="269"/>
      <c r="O126" s="4"/>
      <c r="P126" s="4"/>
      <c r="Q126" s="4"/>
    </row>
    <row r="127" spans="1:17" s="37" customFormat="1" x14ac:dyDescent="0.3">
      <c r="A127" s="5" t="s">
        <v>127</v>
      </c>
      <c r="B127" s="30" t="s">
        <v>282</v>
      </c>
      <c r="C127" s="30"/>
      <c r="D127" s="30"/>
      <c r="E127" s="30"/>
      <c r="F127" s="205"/>
      <c r="G127" s="48"/>
      <c r="H127" s="166">
        <v>2.25</v>
      </c>
      <c r="I127" s="32">
        <v>4288006</v>
      </c>
      <c r="J127" s="280">
        <v>1610683</v>
      </c>
      <c r="K127" s="246">
        <f t="shared" si="58"/>
        <v>0.37562517403193935</v>
      </c>
      <c r="L127" s="308"/>
      <c r="M127" s="4"/>
      <c r="N127" s="269"/>
      <c r="O127" s="4"/>
      <c r="P127" s="4"/>
      <c r="Q127" s="4"/>
    </row>
    <row r="128" spans="1:17" s="37" customFormat="1" x14ac:dyDescent="0.3">
      <c r="A128" s="5" t="s">
        <v>127</v>
      </c>
      <c r="B128" s="30" t="s">
        <v>307</v>
      </c>
      <c r="C128" s="34"/>
      <c r="D128" s="34"/>
      <c r="E128" s="34"/>
      <c r="F128" s="218"/>
      <c r="G128" s="48"/>
      <c r="H128" s="166">
        <v>0.35</v>
      </c>
      <c r="I128" s="35">
        <v>1118901</v>
      </c>
      <c r="J128" s="263">
        <v>480000</v>
      </c>
      <c r="K128" s="246">
        <f t="shared" si="58"/>
        <v>0.4289923773416951</v>
      </c>
      <c r="L128" s="308"/>
      <c r="M128" s="4"/>
      <c r="N128" s="269"/>
      <c r="O128" s="4"/>
      <c r="P128" s="4"/>
      <c r="Q128" s="4"/>
    </row>
    <row r="129" spans="1:17" s="37" customFormat="1" x14ac:dyDescent="0.3">
      <c r="A129" s="5"/>
      <c r="B129" s="5"/>
      <c r="C129" s="21"/>
      <c r="D129" s="21"/>
      <c r="E129" s="21"/>
      <c r="F129" s="249"/>
      <c r="G129" s="48"/>
      <c r="H129" s="66"/>
      <c r="I129" s="250"/>
      <c r="J129" s="281"/>
      <c r="K129" s="93"/>
      <c r="L129" s="308"/>
      <c r="M129" s="4"/>
      <c r="N129" s="269"/>
      <c r="O129" s="4"/>
      <c r="P129" s="4"/>
      <c r="Q129" s="4"/>
    </row>
    <row r="130" spans="1:17" s="37" customFormat="1" x14ac:dyDescent="0.3">
      <c r="A130" s="4" t="s">
        <v>259</v>
      </c>
      <c r="B130" s="4"/>
      <c r="C130" s="13">
        <f>SUM(C118:C128)</f>
        <v>10.950000000000001</v>
      </c>
      <c r="D130" s="13">
        <f t="shared" ref="D130:E130" si="59">SUM(D118:D128)</f>
        <v>24316974.215999998</v>
      </c>
      <c r="E130" s="13">
        <f t="shared" si="59"/>
        <v>8386238.5542650009</v>
      </c>
      <c r="F130" s="200">
        <f t="shared" si="42"/>
        <v>0.34487179530531609</v>
      </c>
      <c r="G130" s="48"/>
      <c r="H130" s="150">
        <f>SUM(H118:H129)</f>
        <v>16.850000000000001</v>
      </c>
      <c r="I130" s="13">
        <f>SUM(I118:I129)</f>
        <v>34360410.225000001</v>
      </c>
      <c r="J130" s="256">
        <f>SUM(J118:J129)</f>
        <v>12769885.4186875</v>
      </c>
      <c r="K130" s="92">
        <f t="shared" ref="K130" si="60">+J130/I130</f>
        <v>0.37164531316906008</v>
      </c>
      <c r="L130" s="307">
        <f>+H130-C130</f>
        <v>5.9</v>
      </c>
      <c r="M130" s="98">
        <f t="shared" ref="M130" si="61">+I130-D130</f>
        <v>10043436.009000003</v>
      </c>
      <c r="N130" s="300">
        <f t="shared" ref="N130" si="62">+J130-E130</f>
        <v>4383646.8644224992</v>
      </c>
      <c r="O130" s="4"/>
      <c r="P130" s="4"/>
      <c r="Q130" s="4"/>
    </row>
    <row r="131" spans="1:17" s="37" customFormat="1" x14ac:dyDescent="0.3">
      <c r="A131" s="4"/>
      <c r="B131" s="4"/>
      <c r="C131" s="13"/>
      <c r="D131" s="13"/>
      <c r="E131" s="13"/>
      <c r="F131" s="200"/>
      <c r="G131" s="48"/>
      <c r="H131" s="163"/>
      <c r="I131" s="4"/>
      <c r="J131" s="269"/>
      <c r="K131" s="93"/>
      <c r="L131" s="308"/>
      <c r="M131" s="4"/>
      <c r="N131" s="269"/>
      <c r="O131" s="4"/>
      <c r="P131" s="4"/>
      <c r="Q131" s="4"/>
    </row>
    <row r="132" spans="1:17" s="37" customFormat="1" x14ac:dyDescent="0.3">
      <c r="A132" s="4" t="s">
        <v>260</v>
      </c>
      <c r="B132" s="4"/>
      <c r="C132" s="13">
        <f>+C130</f>
        <v>10.950000000000001</v>
      </c>
      <c r="D132" s="13">
        <f t="shared" ref="D132:J132" si="63">+D130</f>
        <v>24316974.215999998</v>
      </c>
      <c r="E132" s="13">
        <f t="shared" si="63"/>
        <v>8386238.5542650009</v>
      </c>
      <c r="F132" s="200">
        <f t="shared" si="42"/>
        <v>0.34487179530531609</v>
      </c>
      <c r="G132" s="48"/>
      <c r="H132" s="15">
        <f t="shared" si="63"/>
        <v>16.850000000000001</v>
      </c>
      <c r="I132" s="13">
        <f t="shared" si="63"/>
        <v>34360410.225000001</v>
      </c>
      <c r="J132" s="256">
        <f t="shared" si="63"/>
        <v>12769885.4186875</v>
      </c>
      <c r="K132" s="92">
        <f t="shared" ref="K132:K134" si="64">+J132/I132</f>
        <v>0.37164531316906008</v>
      </c>
      <c r="L132" s="307">
        <f>+H132-C132</f>
        <v>5.9</v>
      </c>
      <c r="M132" s="98">
        <f t="shared" ref="M132:M134" si="65">+I132-D132</f>
        <v>10043436.009000003</v>
      </c>
      <c r="N132" s="300">
        <f t="shared" ref="N132:N134" si="66">+J132-E132</f>
        <v>4383646.8644224992</v>
      </c>
      <c r="O132" s="4"/>
      <c r="P132" s="4"/>
      <c r="Q132" s="4"/>
    </row>
    <row r="133" spans="1:17" s="37" customFormat="1" x14ac:dyDescent="0.3">
      <c r="A133" s="4" t="s">
        <v>261</v>
      </c>
      <c r="B133" s="4"/>
      <c r="C133" s="15">
        <f>+C117+C110+C99</f>
        <v>34.15</v>
      </c>
      <c r="D133" s="13">
        <f t="shared" ref="D133:J133" si="67">+D117+D110+D99</f>
        <v>70705060.799255341</v>
      </c>
      <c r="E133" s="13">
        <f t="shared" si="67"/>
        <v>28136910.112772085</v>
      </c>
      <c r="F133" s="200">
        <f t="shared" si="42"/>
        <v>0.39794761216114277</v>
      </c>
      <c r="G133" s="187"/>
      <c r="H133" s="15">
        <f t="shared" si="67"/>
        <v>20.6</v>
      </c>
      <c r="I133" s="13">
        <f t="shared" si="67"/>
        <v>58944128.429235168</v>
      </c>
      <c r="J133" s="256">
        <f t="shared" si="67"/>
        <v>27771779.245155513</v>
      </c>
      <c r="K133" s="92">
        <f t="shared" si="64"/>
        <v>0.47115429450274537</v>
      </c>
      <c r="L133" s="307">
        <f t="shared" ref="L133:L134" si="68">+H133-C133</f>
        <v>-13.549999999999997</v>
      </c>
      <c r="M133" s="98">
        <f t="shared" si="65"/>
        <v>-11760932.370020173</v>
      </c>
      <c r="N133" s="300">
        <f t="shared" si="66"/>
        <v>-365130.86761657149</v>
      </c>
      <c r="O133" s="4"/>
      <c r="P133" s="4"/>
      <c r="Q133" s="4"/>
    </row>
    <row r="134" spans="1:17" s="37" customFormat="1" x14ac:dyDescent="0.3">
      <c r="A134" s="4" t="s">
        <v>262</v>
      </c>
      <c r="C134" s="15">
        <f>+C132+C133</f>
        <v>45.1</v>
      </c>
      <c r="D134" s="13">
        <f t="shared" ref="D134:J134" si="69">+D132+D133</f>
        <v>95022035.015255332</v>
      </c>
      <c r="E134" s="13">
        <f t="shared" si="69"/>
        <v>36523148.667037085</v>
      </c>
      <c r="F134" s="200">
        <f t="shared" si="42"/>
        <v>0.38436504397294236</v>
      </c>
      <c r="G134" s="187"/>
      <c r="H134" s="15">
        <f>+H132+H133</f>
        <v>37.450000000000003</v>
      </c>
      <c r="I134" s="13">
        <f t="shared" si="69"/>
        <v>93304538.654235169</v>
      </c>
      <c r="J134" s="256">
        <f t="shared" si="69"/>
        <v>40541664.663843013</v>
      </c>
      <c r="K134" s="92">
        <f t="shared" si="64"/>
        <v>0.43450903084233616</v>
      </c>
      <c r="L134" s="307">
        <f t="shared" si="68"/>
        <v>-7.6499999999999986</v>
      </c>
      <c r="M134" s="98">
        <f t="shared" si="65"/>
        <v>-1717496.3610201627</v>
      </c>
      <c r="N134" s="300">
        <f t="shared" si="66"/>
        <v>4018515.9968059286</v>
      </c>
      <c r="O134" s="4"/>
      <c r="P134" s="4"/>
      <c r="Q134" s="4"/>
    </row>
    <row r="135" spans="1:17" s="37" customFormat="1" x14ac:dyDescent="0.3">
      <c r="A135" s="59"/>
      <c r="B135" s="59"/>
      <c r="C135" s="60"/>
      <c r="D135" s="60"/>
      <c r="E135" s="60"/>
      <c r="F135" s="219"/>
      <c r="G135" s="363"/>
      <c r="H135" s="174"/>
      <c r="I135" s="59"/>
      <c r="J135" s="3"/>
      <c r="K135" s="3"/>
      <c r="L135" s="3"/>
      <c r="M135" s="3"/>
      <c r="N135" s="3"/>
      <c r="O135" s="4"/>
      <c r="P135" s="4"/>
      <c r="Q135" s="4"/>
    </row>
    <row r="136" spans="1:17" x14ac:dyDescent="0.3">
      <c r="A136" s="3"/>
      <c r="B136" s="3"/>
      <c r="C136" s="23"/>
      <c r="D136" s="23"/>
      <c r="E136" s="23"/>
      <c r="F136" s="204"/>
      <c r="G136" s="363"/>
      <c r="H136" s="151"/>
      <c r="I136" s="3"/>
      <c r="J136" s="3"/>
      <c r="K136" s="3"/>
      <c r="L136" s="3"/>
      <c r="M136" s="3"/>
      <c r="N136" s="3"/>
      <c r="O136" s="5"/>
      <c r="P136" s="5"/>
      <c r="Q136" s="5"/>
    </row>
    <row r="137" spans="1:17" x14ac:dyDescent="0.3">
      <c r="A137" s="4" t="s">
        <v>226</v>
      </c>
      <c r="B137" s="4" t="s">
        <v>308</v>
      </c>
      <c r="C137" s="338" t="s">
        <v>228</v>
      </c>
      <c r="D137" s="338"/>
      <c r="E137" s="338"/>
      <c r="F137" s="338"/>
      <c r="G137" s="338"/>
      <c r="H137" s="336" t="s">
        <v>229</v>
      </c>
      <c r="I137" s="336"/>
      <c r="J137" s="336"/>
      <c r="K137" s="91"/>
      <c r="L137" s="337" t="s">
        <v>394</v>
      </c>
      <c r="M137" s="337"/>
      <c r="N137" s="337"/>
      <c r="O137" s="5"/>
      <c r="P137" s="5"/>
      <c r="Q137" s="5"/>
    </row>
    <row r="138" spans="1:17" x14ac:dyDescent="0.3">
      <c r="A138" s="5"/>
      <c r="B138" s="5"/>
      <c r="C138" s="6"/>
      <c r="D138" s="6"/>
      <c r="E138" s="6"/>
      <c r="F138" s="199"/>
      <c r="G138" s="7"/>
      <c r="H138" s="66"/>
      <c r="I138" s="5"/>
      <c r="J138" s="40"/>
      <c r="K138" s="91"/>
      <c r="L138" s="68"/>
      <c r="M138" s="5"/>
      <c r="N138" s="40"/>
      <c r="O138" s="5"/>
      <c r="P138" s="5"/>
      <c r="Q138" s="5"/>
    </row>
    <row r="139" spans="1:17" x14ac:dyDescent="0.3">
      <c r="A139" s="5" t="s">
        <v>230</v>
      </c>
      <c r="B139" s="5" t="s">
        <v>231</v>
      </c>
      <c r="C139" s="6" t="s">
        <v>232</v>
      </c>
      <c r="D139" s="6" t="s">
        <v>233</v>
      </c>
      <c r="E139" s="6" t="s">
        <v>234</v>
      </c>
      <c r="F139" s="231" t="s">
        <v>396</v>
      </c>
      <c r="G139" s="8"/>
      <c r="H139" s="141" t="s">
        <v>232</v>
      </c>
      <c r="I139" s="6" t="s">
        <v>233</v>
      </c>
      <c r="J139" s="252" t="s">
        <v>234</v>
      </c>
      <c r="K139" s="231" t="s">
        <v>396</v>
      </c>
      <c r="L139" s="306" t="s">
        <v>232</v>
      </c>
      <c r="M139" s="6" t="s">
        <v>233</v>
      </c>
      <c r="N139" s="252" t="s">
        <v>234</v>
      </c>
      <c r="O139" s="5"/>
      <c r="P139" s="5"/>
      <c r="Q139" s="5"/>
    </row>
    <row r="140" spans="1:17" x14ac:dyDescent="0.3">
      <c r="A140" s="5" t="s">
        <v>130</v>
      </c>
      <c r="B140" s="11" t="s">
        <v>309</v>
      </c>
      <c r="C140" s="11">
        <v>27</v>
      </c>
      <c r="D140" s="11">
        <v>55162386.25</v>
      </c>
      <c r="E140" s="11">
        <v>17449705.859375004</v>
      </c>
      <c r="F140" s="220">
        <f t="shared" ref="F140:F176" si="70">+E140/D140</f>
        <v>0.31633341205167687</v>
      </c>
      <c r="G140" s="8"/>
      <c r="H140" s="155">
        <v>10</v>
      </c>
      <c r="I140" s="29">
        <v>18881649</v>
      </c>
      <c r="J140" s="261">
        <v>8705053</v>
      </c>
      <c r="K140" s="247">
        <f>+J140/I140</f>
        <v>0.46103245537505755</v>
      </c>
      <c r="L140" s="68"/>
      <c r="M140" s="5"/>
      <c r="N140" s="40"/>
      <c r="O140" s="5"/>
      <c r="P140" s="5"/>
      <c r="Q140" s="5"/>
    </row>
    <row r="141" spans="1:17" x14ac:dyDescent="0.3">
      <c r="A141" s="5" t="s">
        <v>130</v>
      </c>
      <c r="B141" s="9" t="s">
        <v>264</v>
      </c>
      <c r="C141" s="9">
        <v>2.25</v>
      </c>
      <c r="D141" s="9">
        <v>7014800</v>
      </c>
      <c r="E141" s="9">
        <v>3385197</v>
      </c>
      <c r="F141" s="210">
        <f t="shared" si="70"/>
        <v>0.48257926099104748</v>
      </c>
      <c r="G141" s="7"/>
      <c r="H141" s="142"/>
      <c r="I141" s="9"/>
      <c r="J141" s="253"/>
      <c r="K141" s="9"/>
      <c r="L141" s="68"/>
      <c r="M141" s="5"/>
      <c r="N141" s="40"/>
      <c r="O141" s="5"/>
      <c r="P141" s="5"/>
      <c r="Q141" s="5"/>
    </row>
    <row r="142" spans="1:17" x14ac:dyDescent="0.3">
      <c r="A142" s="5" t="s">
        <v>130</v>
      </c>
      <c r="B142" s="16" t="s">
        <v>240</v>
      </c>
      <c r="C142" s="16"/>
      <c r="D142" s="16"/>
      <c r="E142" s="16"/>
      <c r="F142" s="216"/>
      <c r="G142" s="7"/>
      <c r="H142" s="171">
        <v>2.25</v>
      </c>
      <c r="I142" s="127">
        <v>5098784.03</v>
      </c>
      <c r="J142" s="282">
        <v>926620.85</v>
      </c>
      <c r="K142" s="251">
        <f t="shared" ref="K142:K204" si="71">+J142/I142</f>
        <v>0.18173369268986275</v>
      </c>
      <c r="L142" s="68"/>
      <c r="M142" s="5"/>
      <c r="N142" s="40"/>
      <c r="O142" s="5"/>
      <c r="P142" s="5"/>
      <c r="Q142" s="5"/>
    </row>
    <row r="143" spans="1:17" x14ac:dyDescent="0.3">
      <c r="A143" s="5" t="s">
        <v>130</v>
      </c>
      <c r="B143" s="9" t="s">
        <v>237</v>
      </c>
      <c r="C143" s="10">
        <v>2.25</v>
      </c>
      <c r="D143" s="10">
        <v>9099765</v>
      </c>
      <c r="E143" s="10">
        <v>2480851.3275000001</v>
      </c>
      <c r="F143" s="197">
        <f t="shared" si="70"/>
        <v>0.27262806539509538</v>
      </c>
      <c r="G143" s="7"/>
      <c r="H143" s="142"/>
      <c r="I143" s="9"/>
      <c r="J143" s="253"/>
      <c r="K143" s="9"/>
      <c r="L143" s="68"/>
      <c r="M143" s="5"/>
      <c r="N143" s="40"/>
      <c r="O143" s="5"/>
      <c r="P143" s="5"/>
      <c r="Q143" s="5"/>
    </row>
    <row r="144" spans="1:17" x14ac:dyDescent="0.3">
      <c r="A144" s="5" t="s">
        <v>130</v>
      </c>
      <c r="B144" s="9" t="s">
        <v>266</v>
      </c>
      <c r="C144" s="10">
        <v>0.2</v>
      </c>
      <c r="D144" s="10">
        <v>475000</v>
      </c>
      <c r="E144" s="10">
        <v>320412.5</v>
      </c>
      <c r="F144" s="197">
        <f t="shared" si="70"/>
        <v>0.6745526315789474</v>
      </c>
      <c r="G144" s="7"/>
      <c r="H144" s="142"/>
      <c r="I144" s="9"/>
      <c r="J144" s="253"/>
      <c r="K144" s="9"/>
      <c r="L144" s="68"/>
      <c r="M144" s="5"/>
      <c r="N144" s="40"/>
      <c r="O144" s="5"/>
      <c r="P144" s="5"/>
      <c r="Q144" s="5"/>
    </row>
    <row r="145" spans="1:17" x14ac:dyDescent="0.3">
      <c r="A145" s="5" t="s">
        <v>130</v>
      </c>
      <c r="B145" s="9" t="s">
        <v>238</v>
      </c>
      <c r="C145" s="10">
        <v>2.2000000000000002</v>
      </c>
      <c r="D145" s="10">
        <v>4436591.46875</v>
      </c>
      <c r="E145" s="10">
        <v>2094787.9407031252</v>
      </c>
      <c r="F145" s="197">
        <f t="shared" si="70"/>
        <v>0.47216155813718119</v>
      </c>
      <c r="G145" s="7"/>
      <c r="H145" s="143"/>
      <c r="I145" s="10"/>
      <c r="J145" s="254"/>
      <c r="K145" s="9"/>
      <c r="L145" s="68"/>
      <c r="M145" s="5"/>
      <c r="N145" s="40"/>
      <c r="O145" s="5"/>
      <c r="P145" s="5"/>
      <c r="Q145" s="5"/>
    </row>
    <row r="146" spans="1:17" x14ac:dyDescent="0.3">
      <c r="A146" s="5" t="s">
        <v>130</v>
      </c>
      <c r="B146" s="16" t="s">
        <v>310</v>
      </c>
      <c r="C146" s="17"/>
      <c r="D146" s="17"/>
      <c r="E146" s="17"/>
      <c r="F146" s="201"/>
      <c r="G146" s="7"/>
      <c r="H146" s="175">
        <v>2.25</v>
      </c>
      <c r="I146" s="17">
        <v>5001872.7083040001</v>
      </c>
      <c r="J146" s="257">
        <v>2112598.7733571599</v>
      </c>
      <c r="K146" s="251">
        <f t="shared" si="71"/>
        <v>0.42236156267029135</v>
      </c>
      <c r="L146" s="68"/>
      <c r="M146" s="5"/>
      <c r="N146" s="40"/>
      <c r="O146" s="5"/>
      <c r="P146" s="5"/>
      <c r="Q146" s="5"/>
    </row>
    <row r="147" spans="1:17" s="37" customFormat="1" x14ac:dyDescent="0.3">
      <c r="A147" s="4" t="s">
        <v>241</v>
      </c>
      <c r="B147" s="4"/>
      <c r="C147" s="13">
        <f>SUM(C140:C146)</f>
        <v>33.9</v>
      </c>
      <c r="D147" s="13">
        <f>SUM(D140:D146)</f>
        <v>76188542.71875</v>
      </c>
      <c r="E147" s="13">
        <f>SUM(E140:E146)</f>
        <v>25730954.627578128</v>
      </c>
      <c r="F147" s="200">
        <f t="shared" si="70"/>
        <v>0.3377273499319175</v>
      </c>
      <c r="G147" s="7"/>
      <c r="H147" s="150">
        <f>SUM(H140:H146)</f>
        <v>14.5</v>
      </c>
      <c r="I147" s="13">
        <f>SUM(I140:I146)</f>
        <v>28982305.738304</v>
      </c>
      <c r="J147" s="256">
        <f>SUM(J140:J146)</f>
        <v>11744272.62335716</v>
      </c>
      <c r="K147" s="91">
        <f t="shared" si="71"/>
        <v>0.40522216311573617</v>
      </c>
      <c r="L147" s="307">
        <f>+H147-C147</f>
        <v>-19.399999999999999</v>
      </c>
      <c r="M147" s="98">
        <f t="shared" ref="M147" si="72">+I147-D147</f>
        <v>-47206236.980445996</v>
      </c>
      <c r="N147" s="300">
        <f t="shared" ref="N147" si="73">+J147-E147</f>
        <v>-13986682.004220968</v>
      </c>
      <c r="O147" s="4"/>
      <c r="P147" s="4"/>
      <c r="Q147" s="4"/>
    </row>
    <row r="148" spans="1:17" s="37" customFormat="1" x14ac:dyDescent="0.3">
      <c r="A148" s="5" t="s">
        <v>115</v>
      </c>
      <c r="B148" s="77" t="s">
        <v>311</v>
      </c>
      <c r="C148" s="78"/>
      <c r="D148" s="78"/>
      <c r="E148" s="78"/>
      <c r="F148" s="221"/>
      <c r="G148" s="7"/>
      <c r="H148" s="157">
        <v>0.01</v>
      </c>
      <c r="I148" s="74">
        <v>97805.1</v>
      </c>
      <c r="J148" s="74">
        <v>85632.398249999998</v>
      </c>
      <c r="K148" s="251">
        <f t="shared" si="71"/>
        <v>0.87554123711340204</v>
      </c>
      <c r="L148" s="68"/>
      <c r="M148" s="5"/>
      <c r="N148" s="40"/>
      <c r="O148" s="4"/>
      <c r="P148" s="4"/>
      <c r="Q148" s="4"/>
    </row>
    <row r="149" spans="1:17" s="37" customFormat="1" x14ac:dyDescent="0.3">
      <c r="A149" s="5" t="s">
        <v>115</v>
      </c>
      <c r="B149" s="16" t="s">
        <v>312</v>
      </c>
      <c r="C149" s="17"/>
      <c r="D149" s="17"/>
      <c r="E149" s="17"/>
      <c r="F149" s="201"/>
      <c r="G149" s="7"/>
      <c r="H149" s="171">
        <v>1</v>
      </c>
      <c r="I149" s="45">
        <v>1134588.1657499999</v>
      </c>
      <c r="J149" s="265">
        <v>487415.38577062497</v>
      </c>
      <c r="K149" s="251">
        <f t="shared" si="71"/>
        <v>0.42959674751095911</v>
      </c>
      <c r="L149" s="68"/>
      <c r="M149" s="5"/>
      <c r="N149" s="40"/>
      <c r="O149" s="4"/>
      <c r="P149" s="4"/>
      <c r="Q149" s="4"/>
    </row>
    <row r="150" spans="1:17" s="37" customFormat="1" x14ac:dyDescent="0.3">
      <c r="A150" s="5" t="s">
        <v>115</v>
      </c>
      <c r="B150" s="16" t="s">
        <v>313</v>
      </c>
      <c r="C150" s="16"/>
      <c r="D150" s="16"/>
      <c r="E150" s="16"/>
      <c r="F150" s="216"/>
      <c r="G150" s="7"/>
      <c r="H150" s="171">
        <v>0.6</v>
      </c>
      <c r="I150" s="45">
        <v>1860433.9200000002</v>
      </c>
      <c r="J150" s="265">
        <v>1151585.5833000001</v>
      </c>
      <c r="K150" s="251">
        <f t="shared" si="71"/>
        <v>0.61898763020833336</v>
      </c>
      <c r="L150" s="68"/>
      <c r="M150" s="5"/>
      <c r="N150" s="40"/>
      <c r="O150" s="4"/>
      <c r="P150" s="4"/>
      <c r="Q150" s="4"/>
    </row>
    <row r="151" spans="1:17" s="37" customFormat="1" x14ac:dyDescent="0.3">
      <c r="A151" s="4" t="s">
        <v>249</v>
      </c>
      <c r="B151" s="5"/>
      <c r="C151" s="89">
        <f>SUM(C148:C150)</f>
        <v>0</v>
      </c>
      <c r="D151" s="89">
        <f>SUM(D148:D150)</f>
        <v>0</v>
      </c>
      <c r="E151" s="89">
        <f>SUM(E148:E150)</f>
        <v>0</v>
      </c>
      <c r="F151" s="222"/>
      <c r="G151" s="48"/>
      <c r="H151" s="176">
        <f>SUM(H148:H150)</f>
        <v>1.6099999999999999</v>
      </c>
      <c r="I151" s="90">
        <f>SUM(I148:I150)</f>
        <v>3092827.1857500002</v>
      </c>
      <c r="J151" s="283">
        <f>SUM(J148:J150)</f>
        <v>1724633.3673206251</v>
      </c>
      <c r="K151" s="91">
        <f t="shared" si="71"/>
        <v>0.55762357989698264</v>
      </c>
      <c r="L151" s="307">
        <f>+H151-C151</f>
        <v>1.6099999999999999</v>
      </c>
      <c r="M151" s="98">
        <f t="shared" ref="M151" si="74">+I151-D151</f>
        <v>3092827.1857500002</v>
      </c>
      <c r="N151" s="300">
        <f t="shared" ref="N151" si="75">+J151-E151</f>
        <v>1724633.3673206251</v>
      </c>
      <c r="O151" s="4"/>
      <c r="P151" s="4"/>
      <c r="Q151" s="4"/>
    </row>
    <row r="152" spans="1:17" x14ac:dyDescent="0.3">
      <c r="A152" s="5" t="s">
        <v>137</v>
      </c>
      <c r="B152" s="9" t="s">
        <v>314</v>
      </c>
      <c r="C152" s="10">
        <v>1</v>
      </c>
      <c r="D152" s="10">
        <v>5812500</v>
      </c>
      <c r="E152" s="10">
        <v>3473719</v>
      </c>
      <c r="F152" s="197">
        <f t="shared" si="70"/>
        <v>0.59762907526881726</v>
      </c>
      <c r="G152" s="7"/>
      <c r="H152" s="142"/>
      <c r="I152" s="9"/>
      <c r="J152" s="260"/>
      <c r="K152" s="9"/>
      <c r="L152" s="68"/>
      <c r="M152" s="5"/>
      <c r="N152" s="40"/>
      <c r="O152" s="5"/>
      <c r="P152" s="5"/>
      <c r="Q152" s="5"/>
    </row>
    <row r="153" spans="1:17" x14ac:dyDescent="0.3">
      <c r="A153" s="5" t="s">
        <v>137</v>
      </c>
      <c r="B153" s="16" t="s">
        <v>315</v>
      </c>
      <c r="C153" s="17"/>
      <c r="D153" s="17"/>
      <c r="E153" s="17"/>
      <c r="F153" s="201"/>
      <c r="G153" s="7"/>
      <c r="H153" s="171">
        <v>0.1</v>
      </c>
      <c r="I153" s="45">
        <v>68646</v>
      </c>
      <c r="J153" s="265">
        <v>15562.904999999999</v>
      </c>
      <c r="K153" s="251">
        <f t="shared" si="71"/>
        <v>0.22671248142644873</v>
      </c>
      <c r="L153" s="68"/>
      <c r="M153" s="5"/>
      <c r="N153" s="40"/>
      <c r="O153" s="5"/>
      <c r="P153" s="5"/>
      <c r="Q153" s="5"/>
    </row>
    <row r="154" spans="1:17" x14ac:dyDescent="0.3">
      <c r="A154" s="5" t="s">
        <v>137</v>
      </c>
      <c r="B154" s="16" t="s">
        <v>316</v>
      </c>
      <c r="C154" s="33"/>
      <c r="D154" s="33"/>
      <c r="E154" s="33"/>
      <c r="F154" s="206"/>
      <c r="G154" s="48"/>
      <c r="H154" s="171">
        <v>2.25</v>
      </c>
      <c r="I154" s="56">
        <v>4177187.2822080008</v>
      </c>
      <c r="J154" s="284">
        <v>1838198.3604223207</v>
      </c>
      <c r="K154" s="251">
        <f t="shared" si="71"/>
        <v>0.44005648687378834</v>
      </c>
      <c r="L154" s="307"/>
      <c r="M154" s="4"/>
      <c r="N154" s="269"/>
      <c r="O154" s="5"/>
      <c r="P154" s="5"/>
      <c r="Q154" s="5"/>
    </row>
    <row r="155" spans="1:17" x14ac:dyDescent="0.3">
      <c r="A155" s="5" t="s">
        <v>137</v>
      </c>
      <c r="B155" s="16" t="s">
        <v>317</v>
      </c>
      <c r="C155" s="17"/>
      <c r="D155" s="17"/>
      <c r="E155" s="17"/>
      <c r="F155" s="201"/>
      <c r="G155" s="48"/>
      <c r="H155" s="171">
        <v>1</v>
      </c>
      <c r="I155" s="44">
        <v>5787137.8500000006</v>
      </c>
      <c r="J155" s="264">
        <v>3701285.7053750004</v>
      </c>
      <c r="K155" s="251">
        <f t="shared" si="71"/>
        <v>0.63957102825449375</v>
      </c>
      <c r="L155" s="68"/>
      <c r="M155" s="5"/>
      <c r="N155" s="40"/>
      <c r="O155" s="5"/>
      <c r="P155" s="5"/>
      <c r="Q155" s="5"/>
    </row>
    <row r="156" spans="1:17" s="37" customFormat="1" x14ac:dyDescent="0.3">
      <c r="A156" s="4" t="s">
        <v>245</v>
      </c>
      <c r="B156" s="4"/>
      <c r="C156" s="13">
        <f>SUM(C152:C155)</f>
        <v>1</v>
      </c>
      <c r="D156" s="13">
        <f>SUM(D152:D155)</f>
        <v>5812500</v>
      </c>
      <c r="E156" s="13">
        <f>SUM(E152:E155)</f>
        <v>3473719</v>
      </c>
      <c r="F156" s="200">
        <f t="shared" si="70"/>
        <v>0.59762907526881726</v>
      </c>
      <c r="G156" s="48"/>
      <c r="H156" s="150">
        <f>SUM(H152:H155)</f>
        <v>3.35</v>
      </c>
      <c r="I156" s="13">
        <f>SUM(I152:I155)</f>
        <v>10032971.132208001</v>
      </c>
      <c r="J156" s="256">
        <f>SUM(J152:J155)</f>
        <v>5555046.9707973208</v>
      </c>
      <c r="K156" s="91">
        <f t="shared" si="71"/>
        <v>0.55367915422027103</v>
      </c>
      <c r="L156" s="307">
        <f>+H156-C156</f>
        <v>2.35</v>
      </c>
      <c r="M156" s="98">
        <f t="shared" ref="M156" si="76">+I156-D156</f>
        <v>4220471.1322080009</v>
      </c>
      <c r="N156" s="300">
        <f t="shared" ref="N156" si="77">+J156-E156</f>
        <v>2081327.9707973208</v>
      </c>
      <c r="O156" s="4"/>
      <c r="P156" s="4"/>
      <c r="Q156" s="4"/>
    </row>
    <row r="157" spans="1:17" x14ac:dyDescent="0.3">
      <c r="A157" s="5" t="s">
        <v>127</v>
      </c>
      <c r="B157" s="9" t="s">
        <v>250</v>
      </c>
      <c r="C157" s="20">
        <v>0.15</v>
      </c>
      <c r="D157" s="20">
        <v>215625</v>
      </c>
      <c r="E157" s="20">
        <v>112397.03750000001</v>
      </c>
      <c r="F157" s="203">
        <f t="shared" si="70"/>
        <v>0.52126162318840585</v>
      </c>
      <c r="G157" s="7"/>
      <c r="H157" s="142"/>
      <c r="I157" s="9"/>
      <c r="J157" s="253"/>
      <c r="K157" s="9"/>
      <c r="L157" s="68"/>
      <c r="M157" s="5"/>
      <c r="N157" s="40"/>
      <c r="O157" s="5"/>
      <c r="P157" s="5"/>
      <c r="Q157" s="5"/>
    </row>
    <row r="158" spans="1:17" x14ac:dyDescent="0.3">
      <c r="A158" s="5" t="s">
        <v>127</v>
      </c>
      <c r="B158" s="9" t="s">
        <v>280</v>
      </c>
      <c r="C158" s="20">
        <v>2.25</v>
      </c>
      <c r="D158" s="20">
        <v>2317500</v>
      </c>
      <c r="E158" s="20">
        <v>481691.25000000006</v>
      </c>
      <c r="F158" s="203">
        <f t="shared" si="70"/>
        <v>0.20784951456310682</v>
      </c>
      <c r="G158" s="7"/>
      <c r="H158" s="142"/>
      <c r="I158" s="9"/>
      <c r="J158" s="253"/>
      <c r="K158" s="9"/>
      <c r="L158" s="68"/>
      <c r="M158" s="5"/>
      <c r="N158" s="40"/>
      <c r="O158" s="5"/>
      <c r="P158" s="5"/>
      <c r="Q158" s="5"/>
    </row>
    <row r="159" spans="1:17" x14ac:dyDescent="0.3">
      <c r="A159" s="5" t="s">
        <v>127</v>
      </c>
      <c r="B159" s="30" t="s">
        <v>318</v>
      </c>
      <c r="C159" s="58"/>
      <c r="D159" s="58"/>
      <c r="E159" s="58"/>
      <c r="F159" s="223"/>
      <c r="G159" s="7"/>
      <c r="H159" s="166">
        <v>2.25</v>
      </c>
      <c r="I159" s="35">
        <v>2882455.7344999998</v>
      </c>
      <c r="J159" s="263">
        <v>1395456.47</v>
      </c>
      <c r="K159" s="251">
        <f t="shared" si="71"/>
        <v>0.48412069378822931</v>
      </c>
      <c r="L159" s="68"/>
      <c r="M159" s="5"/>
      <c r="N159" s="40"/>
      <c r="O159" s="5"/>
      <c r="P159" s="5"/>
      <c r="Q159" s="5"/>
    </row>
    <row r="160" spans="1:17" x14ac:dyDescent="0.3">
      <c r="A160" s="5" t="s">
        <v>127</v>
      </c>
      <c r="B160" s="9" t="s">
        <v>281</v>
      </c>
      <c r="C160" s="20">
        <v>1</v>
      </c>
      <c r="D160" s="20">
        <v>1665406.25</v>
      </c>
      <c r="E160" s="20">
        <v>360958.609375</v>
      </c>
      <c r="F160" s="203">
        <f t="shared" si="70"/>
        <v>0.21673907455012853</v>
      </c>
      <c r="G160" s="7"/>
      <c r="H160" s="142"/>
      <c r="I160" s="9"/>
      <c r="J160" s="253"/>
      <c r="K160" s="9"/>
      <c r="L160" s="68"/>
      <c r="M160" s="5"/>
      <c r="N160" s="40"/>
      <c r="O160" s="5"/>
      <c r="P160" s="5"/>
      <c r="Q160" s="5"/>
    </row>
    <row r="161" spans="1:17" x14ac:dyDescent="0.3">
      <c r="A161" s="5" t="s">
        <v>127</v>
      </c>
      <c r="B161" s="16" t="s">
        <v>319</v>
      </c>
      <c r="C161" s="58"/>
      <c r="D161" s="58"/>
      <c r="E161" s="58"/>
      <c r="F161" s="223"/>
      <c r="G161" s="7"/>
      <c r="H161" s="171">
        <v>4.5</v>
      </c>
      <c r="I161" s="80">
        <v>7300771</v>
      </c>
      <c r="J161" s="285">
        <v>2645526</v>
      </c>
      <c r="K161" s="251">
        <f t="shared" si="71"/>
        <v>0.36236255047583332</v>
      </c>
      <c r="L161" s="68"/>
      <c r="M161" s="5"/>
      <c r="N161" s="40"/>
      <c r="O161" s="5"/>
      <c r="P161" s="5"/>
      <c r="Q161" s="5"/>
    </row>
    <row r="162" spans="1:17" x14ac:dyDescent="0.3">
      <c r="A162" s="5" t="s">
        <v>127</v>
      </c>
      <c r="B162" s="9" t="s">
        <v>253</v>
      </c>
      <c r="C162" s="20">
        <v>1.25</v>
      </c>
      <c r="D162" s="20">
        <v>2908053.7834359375</v>
      </c>
      <c r="E162" s="20">
        <v>1172298.8733086286</v>
      </c>
      <c r="F162" s="203">
        <f t="shared" si="70"/>
        <v>0.40312145531350124</v>
      </c>
      <c r="G162" s="7"/>
      <c r="H162" s="142"/>
      <c r="I162" s="9"/>
      <c r="J162" s="253"/>
      <c r="K162" s="9"/>
      <c r="L162" s="68"/>
      <c r="M162" s="5"/>
      <c r="N162" s="40"/>
      <c r="O162" s="5"/>
      <c r="P162" s="5"/>
      <c r="Q162" s="5"/>
    </row>
    <row r="163" spans="1:17" x14ac:dyDescent="0.3">
      <c r="A163" s="5" t="s">
        <v>127</v>
      </c>
      <c r="B163" s="11" t="s">
        <v>320</v>
      </c>
      <c r="C163" s="19">
        <v>1.75</v>
      </c>
      <c r="D163" s="19">
        <v>5481700</v>
      </c>
      <c r="E163" s="19">
        <v>2693112.4699999997</v>
      </c>
      <c r="F163" s="202">
        <f t="shared" si="70"/>
        <v>0.49129147344801788</v>
      </c>
      <c r="G163" s="7"/>
      <c r="H163" s="162">
        <v>1.6</v>
      </c>
      <c r="I163" s="47">
        <v>5616231</v>
      </c>
      <c r="J163" s="266">
        <v>2552700</v>
      </c>
      <c r="K163" s="247">
        <f t="shared" si="71"/>
        <v>0.4545219026781484</v>
      </c>
      <c r="L163" s="68"/>
      <c r="M163" s="5"/>
      <c r="N163" s="40"/>
      <c r="O163" s="5"/>
      <c r="P163" s="5"/>
      <c r="Q163" s="5"/>
    </row>
    <row r="164" spans="1:17" x14ac:dyDescent="0.3">
      <c r="A164" s="5" t="s">
        <v>127</v>
      </c>
      <c r="B164" s="16" t="s">
        <v>305</v>
      </c>
      <c r="C164" s="58"/>
      <c r="D164" s="58"/>
      <c r="E164" s="58"/>
      <c r="F164" s="223"/>
      <c r="G164" s="7"/>
      <c r="H164" s="171">
        <v>2.25</v>
      </c>
      <c r="I164" s="44">
        <v>7225365.2737499988</v>
      </c>
      <c r="J164" s="264">
        <v>3567071.1875906237</v>
      </c>
      <c r="K164" s="251">
        <f t="shared" si="71"/>
        <v>0.493687315788714</v>
      </c>
      <c r="L164" s="68"/>
      <c r="M164" s="5"/>
      <c r="N164" s="40"/>
      <c r="O164" s="5"/>
      <c r="P164" s="5"/>
      <c r="Q164" s="5"/>
    </row>
    <row r="165" spans="1:17" x14ac:dyDescent="0.3">
      <c r="A165" s="5" t="s">
        <v>127</v>
      </c>
      <c r="B165" s="9" t="s">
        <v>285</v>
      </c>
      <c r="C165" s="20">
        <v>0.3</v>
      </c>
      <c r="D165" s="20">
        <v>426240</v>
      </c>
      <c r="E165" s="20">
        <v>249543.59999999998</v>
      </c>
      <c r="F165" s="203">
        <f t="shared" si="70"/>
        <v>0.58545326576576573</v>
      </c>
      <c r="G165" s="7"/>
      <c r="H165" s="142"/>
      <c r="I165" s="9"/>
      <c r="J165" s="253"/>
      <c r="K165" s="9"/>
      <c r="L165" s="68"/>
      <c r="M165" s="5"/>
      <c r="N165" s="40"/>
      <c r="O165" s="5"/>
      <c r="P165" s="5"/>
      <c r="Q165" s="5"/>
    </row>
    <row r="166" spans="1:17" x14ac:dyDescent="0.3">
      <c r="A166" s="5" t="s">
        <v>127</v>
      </c>
      <c r="B166" s="9" t="s">
        <v>304</v>
      </c>
      <c r="C166" s="20">
        <v>2.25</v>
      </c>
      <c r="D166" s="20">
        <v>5245164.5999999996</v>
      </c>
      <c r="E166" s="20">
        <v>1395357.9964999994</v>
      </c>
      <c r="F166" s="203">
        <f t="shared" si="70"/>
        <v>0.26602749444698065</v>
      </c>
      <c r="G166" s="7"/>
      <c r="H166" s="142"/>
      <c r="I166" s="9"/>
      <c r="J166" s="253"/>
      <c r="K166" s="9"/>
      <c r="L166" s="68"/>
      <c r="M166" s="5"/>
      <c r="N166" s="40"/>
      <c r="O166" s="5"/>
      <c r="P166" s="5"/>
      <c r="Q166" s="5"/>
    </row>
    <row r="167" spans="1:17" x14ac:dyDescent="0.3">
      <c r="A167" s="5" t="s">
        <v>127</v>
      </c>
      <c r="B167" s="9" t="s">
        <v>254</v>
      </c>
      <c r="C167" s="20">
        <v>2.25</v>
      </c>
      <c r="D167" s="20">
        <v>7509227.25</v>
      </c>
      <c r="E167" s="20">
        <v>2591788.1368749999</v>
      </c>
      <c r="F167" s="203">
        <f t="shared" si="70"/>
        <v>0.34514711708518342</v>
      </c>
      <c r="G167" s="7"/>
      <c r="H167" s="142"/>
      <c r="I167" s="9"/>
      <c r="J167" s="253"/>
      <c r="K167" s="9"/>
      <c r="L167" s="68"/>
      <c r="M167" s="5"/>
      <c r="N167" s="40"/>
      <c r="O167" s="5"/>
      <c r="P167" s="5"/>
      <c r="Q167" s="5"/>
    </row>
    <row r="168" spans="1:17" x14ac:dyDescent="0.3">
      <c r="A168" s="5" t="s">
        <v>127</v>
      </c>
      <c r="B168" s="16" t="s">
        <v>321</v>
      </c>
      <c r="C168" s="16"/>
      <c r="D168" s="16"/>
      <c r="E168" s="16"/>
      <c r="F168" s="216"/>
      <c r="G168" s="7"/>
      <c r="H168" s="175">
        <v>0.25</v>
      </c>
      <c r="I168" s="175">
        <v>807300</v>
      </c>
      <c r="J168" s="286">
        <v>424935.81</v>
      </c>
      <c r="K168" s="251">
        <f t="shared" si="71"/>
        <v>0.52636666666666665</v>
      </c>
      <c r="L168" s="68"/>
      <c r="M168" s="5"/>
      <c r="N168" s="40"/>
      <c r="O168" s="5"/>
      <c r="P168" s="5"/>
      <c r="Q168" s="5"/>
    </row>
    <row r="169" spans="1:17" x14ac:dyDescent="0.3">
      <c r="A169" s="5" t="s">
        <v>127</v>
      </c>
      <c r="B169" s="16" t="s">
        <v>306</v>
      </c>
      <c r="C169" s="16"/>
      <c r="D169" s="16"/>
      <c r="E169" s="16"/>
      <c r="F169" s="216"/>
      <c r="G169" s="7"/>
      <c r="H169" s="175">
        <v>2.25</v>
      </c>
      <c r="I169" s="175">
        <v>3284782.5375000001</v>
      </c>
      <c r="J169" s="286">
        <v>1499140.50540625</v>
      </c>
      <c r="K169" s="251">
        <f t="shared" si="71"/>
        <v>0.45638957474098846</v>
      </c>
      <c r="L169" s="68"/>
      <c r="M169" s="5"/>
      <c r="N169" s="40"/>
      <c r="O169" s="5"/>
      <c r="P169" s="5"/>
      <c r="Q169" s="5"/>
    </row>
    <row r="170" spans="1:17" x14ac:dyDescent="0.3">
      <c r="A170" s="5" t="s">
        <v>127</v>
      </c>
      <c r="B170" s="16" t="s">
        <v>322</v>
      </c>
      <c r="C170" s="16"/>
      <c r="D170" s="16"/>
      <c r="E170" s="16"/>
      <c r="F170" s="216"/>
      <c r="G170" s="7"/>
      <c r="H170" s="175">
        <v>0.3</v>
      </c>
      <c r="I170" s="175">
        <v>872700</v>
      </c>
      <c r="J170" s="286">
        <v>574487</v>
      </c>
      <c r="K170" s="251">
        <f t="shared" si="71"/>
        <v>0.65828692563309266</v>
      </c>
      <c r="L170" s="68"/>
      <c r="M170" s="5"/>
      <c r="N170" s="40"/>
      <c r="O170" s="5"/>
      <c r="P170" s="5"/>
      <c r="Q170" s="5"/>
    </row>
    <row r="171" spans="1:17" x14ac:dyDescent="0.3">
      <c r="A171" s="5" t="s">
        <v>127</v>
      </c>
      <c r="B171" s="11" t="s">
        <v>255</v>
      </c>
      <c r="C171" s="19">
        <v>0.1</v>
      </c>
      <c r="D171" s="19">
        <v>84043.75</v>
      </c>
      <c r="E171" s="19">
        <v>44699.685625000006</v>
      </c>
      <c r="F171" s="202">
        <f t="shared" si="70"/>
        <v>0.53186210307131709</v>
      </c>
      <c r="G171" s="7"/>
      <c r="H171" s="162">
        <v>0.25</v>
      </c>
      <c r="I171" s="47">
        <v>789713.04555084754</v>
      </c>
      <c r="J171" s="266">
        <v>453036.00805084757</v>
      </c>
      <c r="K171" s="247">
        <f t="shared" si="71"/>
        <v>0.5736716780901624</v>
      </c>
      <c r="L171" s="68"/>
      <c r="M171" s="5"/>
      <c r="N171" s="40"/>
      <c r="O171" s="5"/>
      <c r="P171" s="5"/>
      <c r="Q171" s="5"/>
    </row>
    <row r="172" spans="1:17" s="37" customFormat="1" x14ac:dyDescent="0.3">
      <c r="A172" s="4" t="s">
        <v>259</v>
      </c>
      <c r="B172" s="4"/>
      <c r="C172" s="13">
        <f>SUM(C157:C171)</f>
        <v>11.299999999999999</v>
      </c>
      <c r="D172" s="13">
        <f t="shared" ref="D172:E172" si="78">SUM(D157:D171)</f>
        <v>25852960.633435935</v>
      </c>
      <c r="E172" s="13">
        <f t="shared" si="78"/>
        <v>9101847.659183627</v>
      </c>
      <c r="F172" s="200">
        <f t="shared" si="70"/>
        <v>0.35206210183185371</v>
      </c>
      <c r="G172" s="48"/>
      <c r="H172" s="150">
        <f>SUM(H157:H171)</f>
        <v>13.65</v>
      </c>
      <c r="I172" s="13">
        <f>SUM(I157:I171)</f>
        <v>28779318.591300849</v>
      </c>
      <c r="J172" s="256">
        <f>SUM(J157:J171)</f>
        <v>13112352.981047722</v>
      </c>
      <c r="K172" s="91">
        <f t="shared" si="71"/>
        <v>0.45561721482214679</v>
      </c>
      <c r="L172" s="307">
        <f>+H172-C172</f>
        <v>2.3500000000000014</v>
      </c>
      <c r="M172" s="98">
        <f t="shared" ref="M172" si="79">+I172-D172</f>
        <v>2926357.9578649141</v>
      </c>
      <c r="N172" s="300">
        <f t="shared" ref="N172" si="80">+J172-E172</f>
        <v>4010505.3218640946</v>
      </c>
      <c r="O172" s="4"/>
      <c r="P172" s="4"/>
      <c r="Q172" s="4"/>
    </row>
    <row r="173" spans="1:17" s="37" customFormat="1" x14ac:dyDescent="0.3">
      <c r="A173" s="4"/>
      <c r="B173" s="4"/>
      <c r="C173" s="13"/>
      <c r="D173" s="13"/>
      <c r="E173" s="13"/>
      <c r="F173" s="200"/>
      <c r="G173" s="48"/>
      <c r="H173" s="163"/>
      <c r="I173" s="4"/>
      <c r="J173" s="269"/>
      <c r="K173" s="91"/>
      <c r="L173" s="308"/>
      <c r="M173" s="4"/>
      <c r="N173" s="269"/>
      <c r="O173" s="4"/>
      <c r="P173" s="4"/>
      <c r="Q173" s="4"/>
    </row>
    <row r="174" spans="1:17" s="37" customFormat="1" x14ac:dyDescent="0.3">
      <c r="A174" s="4" t="s">
        <v>260</v>
      </c>
      <c r="B174" s="4"/>
      <c r="C174" s="13">
        <f>+C172</f>
        <v>11.299999999999999</v>
      </c>
      <c r="D174" s="13">
        <f t="shared" ref="D174:E174" si="81">+D172</f>
        <v>25852960.633435935</v>
      </c>
      <c r="E174" s="13">
        <f t="shared" si="81"/>
        <v>9101847.659183627</v>
      </c>
      <c r="F174" s="200">
        <f t="shared" si="70"/>
        <v>0.35206210183185371</v>
      </c>
      <c r="G174" s="48"/>
      <c r="H174" s="149">
        <f>+H172</f>
        <v>13.65</v>
      </c>
      <c r="I174" s="13">
        <f t="shared" ref="I174:J174" si="82">+I172</f>
        <v>28779318.591300849</v>
      </c>
      <c r="J174" s="256">
        <f t="shared" si="82"/>
        <v>13112352.981047722</v>
      </c>
      <c r="K174" s="91">
        <f t="shared" si="71"/>
        <v>0.45561721482214679</v>
      </c>
      <c r="L174" s="307">
        <f>+H174-C174</f>
        <v>2.3500000000000014</v>
      </c>
      <c r="M174" s="98">
        <f t="shared" ref="M174:M176" si="83">+I174-D174</f>
        <v>2926357.9578649141</v>
      </c>
      <c r="N174" s="300">
        <f t="shared" ref="N174:N176" si="84">+J174-E174</f>
        <v>4010505.3218640946</v>
      </c>
      <c r="O174" s="4"/>
      <c r="P174" s="4"/>
      <c r="Q174" s="4"/>
    </row>
    <row r="175" spans="1:17" s="37" customFormat="1" x14ac:dyDescent="0.3">
      <c r="A175" s="4" t="s">
        <v>261</v>
      </c>
      <c r="B175" s="4"/>
      <c r="C175" s="13">
        <f>+C156+C147</f>
        <v>34.9</v>
      </c>
      <c r="D175" s="13">
        <f>+D156+D147</f>
        <v>82001042.71875</v>
      </c>
      <c r="E175" s="13">
        <f>+E156+E147</f>
        <v>29204673.627578128</v>
      </c>
      <c r="F175" s="200">
        <f t="shared" si="70"/>
        <v>0.35615002760081144</v>
      </c>
      <c r="G175" s="48"/>
      <c r="H175" s="149">
        <f>+H156+H147+H151</f>
        <v>19.46</v>
      </c>
      <c r="I175" s="13">
        <f>+I156+I147+I151</f>
        <v>42108104.056262001</v>
      </c>
      <c r="J175" s="256">
        <f>+J156+J147+J151</f>
        <v>19023952.961475104</v>
      </c>
      <c r="K175" s="91">
        <f t="shared" si="71"/>
        <v>0.45178840006799131</v>
      </c>
      <c r="L175" s="307">
        <f t="shared" ref="L175:L176" si="85">+H175-C175</f>
        <v>-15.439999999999998</v>
      </c>
      <c r="M175" s="98">
        <f t="shared" si="83"/>
        <v>-39892938.662487999</v>
      </c>
      <c r="N175" s="300">
        <f t="shared" si="84"/>
        <v>-10180720.666103024</v>
      </c>
      <c r="O175" s="4"/>
      <c r="P175" s="4"/>
      <c r="Q175" s="4"/>
    </row>
    <row r="176" spans="1:17" s="37" customFormat="1" x14ac:dyDescent="0.3">
      <c r="A176" s="4" t="s">
        <v>262</v>
      </c>
      <c r="B176" s="4"/>
      <c r="C176" s="13">
        <f>+C174+C175</f>
        <v>46.199999999999996</v>
      </c>
      <c r="D176" s="13">
        <f t="shared" ref="D176:I176" si="86">+D174+D175</f>
        <v>107854003.35218593</v>
      </c>
      <c r="E176" s="13">
        <f t="shared" si="86"/>
        <v>38306521.286761753</v>
      </c>
      <c r="F176" s="200">
        <f t="shared" si="70"/>
        <v>0.35517013829960326</v>
      </c>
      <c r="G176" s="14">
        <f t="shared" si="86"/>
        <v>0</v>
      </c>
      <c r="H176" s="149">
        <f t="shared" si="86"/>
        <v>33.11</v>
      </c>
      <c r="I176" s="13">
        <f t="shared" si="86"/>
        <v>70887422.647562847</v>
      </c>
      <c r="J176" s="256">
        <f>+J174+J175</f>
        <v>32136305.942522824</v>
      </c>
      <c r="K176" s="91">
        <f t="shared" si="71"/>
        <v>0.45334284619568815</v>
      </c>
      <c r="L176" s="307">
        <f t="shared" si="85"/>
        <v>-13.089999999999996</v>
      </c>
      <c r="M176" s="98">
        <f t="shared" si="83"/>
        <v>-36966580.704623088</v>
      </c>
      <c r="N176" s="300">
        <f t="shared" si="84"/>
        <v>-6170215.3442389295</v>
      </c>
      <c r="O176" s="4"/>
      <c r="P176" s="4"/>
      <c r="Q176" s="4"/>
    </row>
    <row r="177" spans="1:17" x14ac:dyDescent="0.3">
      <c r="A177" s="3"/>
      <c r="B177" s="3"/>
      <c r="C177" s="23"/>
      <c r="D177" s="23"/>
      <c r="E177" s="23"/>
      <c r="F177" s="204"/>
      <c r="G177" s="362"/>
      <c r="H177" s="151"/>
      <c r="I177" s="3"/>
      <c r="J177" s="3"/>
      <c r="K177" s="3"/>
      <c r="L177" s="3"/>
      <c r="M177" s="3"/>
      <c r="N177" s="3"/>
      <c r="O177" s="5"/>
      <c r="P177" s="5"/>
      <c r="Q177" s="5"/>
    </row>
    <row r="178" spans="1:17" x14ac:dyDescent="0.3">
      <c r="A178" s="3"/>
      <c r="B178" s="3"/>
      <c r="C178" s="23"/>
      <c r="D178" s="23"/>
      <c r="E178" s="23"/>
      <c r="F178" s="204"/>
      <c r="G178" s="362"/>
      <c r="H178" s="151"/>
      <c r="I178" s="3"/>
      <c r="J178" s="3"/>
      <c r="K178" s="3"/>
      <c r="L178" s="3"/>
      <c r="M178" s="3"/>
      <c r="N178" s="3"/>
      <c r="O178" s="5"/>
      <c r="P178" s="5"/>
      <c r="Q178" s="5"/>
    </row>
    <row r="179" spans="1:17" x14ac:dyDescent="0.3">
      <c r="A179" s="4" t="s">
        <v>226</v>
      </c>
      <c r="B179" s="4" t="s">
        <v>323</v>
      </c>
      <c r="C179" s="338" t="s">
        <v>228</v>
      </c>
      <c r="D179" s="338"/>
      <c r="E179" s="338"/>
      <c r="F179" s="338"/>
      <c r="G179" s="338"/>
      <c r="H179" s="336" t="s">
        <v>229</v>
      </c>
      <c r="I179" s="336"/>
      <c r="J179" s="336"/>
      <c r="K179" s="91"/>
      <c r="L179" s="337" t="s">
        <v>394</v>
      </c>
      <c r="M179" s="337"/>
      <c r="N179" s="337"/>
      <c r="O179" s="5"/>
      <c r="P179" s="5"/>
      <c r="Q179" s="5"/>
    </row>
    <row r="180" spans="1:17" x14ac:dyDescent="0.3">
      <c r="A180" s="5"/>
      <c r="B180" s="5"/>
      <c r="C180" s="6"/>
      <c r="D180" s="6"/>
      <c r="E180" s="6"/>
      <c r="F180" s="199"/>
      <c r="G180" s="7"/>
      <c r="H180" s="66"/>
      <c r="I180" s="5"/>
      <c r="J180" s="40"/>
      <c r="K180" s="91"/>
      <c r="L180" s="68"/>
      <c r="M180" s="5"/>
      <c r="N180" s="40"/>
      <c r="O180" s="5"/>
      <c r="P180" s="5"/>
      <c r="Q180" s="5"/>
    </row>
    <row r="181" spans="1:17" x14ac:dyDescent="0.3">
      <c r="A181" s="5" t="s">
        <v>230</v>
      </c>
      <c r="B181" s="5" t="s">
        <v>231</v>
      </c>
      <c r="C181" s="6" t="s">
        <v>232</v>
      </c>
      <c r="D181" s="6" t="s">
        <v>233</v>
      </c>
      <c r="E181" s="6" t="s">
        <v>234</v>
      </c>
      <c r="F181" s="231" t="s">
        <v>396</v>
      </c>
      <c r="G181" s="8"/>
      <c r="H181" s="141" t="s">
        <v>232</v>
      </c>
      <c r="I181" s="6" t="s">
        <v>233</v>
      </c>
      <c r="J181" s="252" t="s">
        <v>234</v>
      </c>
      <c r="K181" s="231" t="s">
        <v>396</v>
      </c>
      <c r="L181" s="306" t="s">
        <v>232</v>
      </c>
      <c r="M181" s="6" t="s">
        <v>233</v>
      </c>
      <c r="N181" s="252" t="s">
        <v>234</v>
      </c>
      <c r="O181" s="5"/>
      <c r="P181" s="5"/>
      <c r="Q181" s="5"/>
    </row>
    <row r="182" spans="1:17" x14ac:dyDescent="0.3">
      <c r="A182" s="5" t="s">
        <v>130</v>
      </c>
      <c r="B182" s="9" t="s">
        <v>324</v>
      </c>
      <c r="C182" s="26">
        <v>0.86</v>
      </c>
      <c r="D182" s="26">
        <v>1124057.8125</v>
      </c>
      <c r="E182" s="26">
        <v>639483.01171875</v>
      </c>
      <c r="F182" s="197">
        <f t="shared" ref="F182:F217" si="87">+E182/D182</f>
        <v>0.56890580235947608</v>
      </c>
      <c r="G182" s="7"/>
      <c r="H182" s="154"/>
      <c r="I182" s="27"/>
      <c r="J182" s="260"/>
      <c r="K182" s="9"/>
      <c r="L182" s="68"/>
      <c r="M182" s="5"/>
      <c r="N182" s="40"/>
      <c r="O182" s="5"/>
      <c r="P182" s="5"/>
      <c r="Q182" s="5"/>
    </row>
    <row r="183" spans="1:17" x14ac:dyDescent="0.3">
      <c r="A183" s="5" t="s">
        <v>130</v>
      </c>
      <c r="B183" s="9" t="s">
        <v>325</v>
      </c>
      <c r="C183" s="26">
        <v>0.12</v>
      </c>
      <c r="D183" s="26">
        <v>174218.75</v>
      </c>
      <c r="E183" s="26">
        <v>64516.828125000007</v>
      </c>
      <c r="F183" s="197">
        <f t="shared" si="87"/>
        <v>0.37032080717488791</v>
      </c>
      <c r="G183" s="7"/>
      <c r="H183" s="154"/>
      <c r="I183" s="27"/>
      <c r="J183" s="260"/>
      <c r="K183" s="9"/>
      <c r="L183" s="68"/>
      <c r="M183" s="5"/>
      <c r="N183" s="40"/>
      <c r="O183" s="5"/>
      <c r="P183" s="5"/>
      <c r="Q183" s="5"/>
    </row>
    <row r="184" spans="1:17" x14ac:dyDescent="0.3">
      <c r="A184" s="5" t="s">
        <v>130</v>
      </c>
      <c r="B184" s="11" t="s">
        <v>309</v>
      </c>
      <c r="C184" s="132">
        <v>6.75</v>
      </c>
      <c r="D184" s="132">
        <v>14526270</v>
      </c>
      <c r="E184" s="132">
        <v>3552858.0450000009</v>
      </c>
      <c r="F184" s="198">
        <f t="shared" si="87"/>
        <v>0.24458157840932332</v>
      </c>
      <c r="G184" s="7"/>
      <c r="H184" s="155">
        <v>24.75</v>
      </c>
      <c r="I184" s="28">
        <v>42805285.294500001</v>
      </c>
      <c r="J184" s="287">
        <v>20533211.761623748</v>
      </c>
      <c r="K184" s="247">
        <f t="shared" si="71"/>
        <v>0.47968870246642265</v>
      </c>
      <c r="L184" s="68"/>
      <c r="M184" s="5"/>
      <c r="N184" s="40"/>
      <c r="O184" s="5"/>
      <c r="P184" s="5"/>
      <c r="Q184" s="5"/>
    </row>
    <row r="185" spans="1:17" x14ac:dyDescent="0.3">
      <c r="A185" s="5" t="s">
        <v>130</v>
      </c>
      <c r="B185" s="16" t="s">
        <v>326</v>
      </c>
      <c r="C185" s="80"/>
      <c r="D185" s="80"/>
      <c r="E185" s="80"/>
      <c r="F185" s="216"/>
      <c r="G185" s="7"/>
      <c r="H185" s="177">
        <v>1</v>
      </c>
      <c r="I185" s="80">
        <v>968109.33749999991</v>
      </c>
      <c r="J185" s="285">
        <v>215869.19240624993</v>
      </c>
      <c r="K185" s="251">
        <f t="shared" si="71"/>
        <v>0.22298017800726971</v>
      </c>
      <c r="L185" s="68"/>
      <c r="M185" s="5"/>
      <c r="N185" s="40"/>
      <c r="O185" s="5"/>
      <c r="P185" s="5"/>
      <c r="Q185" s="5"/>
    </row>
    <row r="186" spans="1:17" x14ac:dyDescent="0.3">
      <c r="A186" s="5" t="s">
        <v>130</v>
      </c>
      <c r="B186" s="16" t="s">
        <v>327</v>
      </c>
      <c r="C186" s="131"/>
      <c r="D186" s="131"/>
      <c r="E186" s="131"/>
      <c r="F186" s="201"/>
      <c r="G186" s="7"/>
      <c r="H186" s="148">
        <v>13.5</v>
      </c>
      <c r="I186" s="131">
        <v>17617976.223999999</v>
      </c>
      <c r="J186" s="288">
        <v>6219341.7529600002</v>
      </c>
      <c r="K186" s="251">
        <f t="shared" si="71"/>
        <v>0.35301113328145678</v>
      </c>
      <c r="L186" s="68"/>
      <c r="M186" s="5"/>
      <c r="N186" s="40"/>
      <c r="O186" s="5"/>
      <c r="P186" s="5"/>
      <c r="Q186" s="5"/>
    </row>
    <row r="187" spans="1:17" x14ac:dyDescent="0.3">
      <c r="A187" s="5" t="s">
        <v>130</v>
      </c>
      <c r="B187" s="16" t="s">
        <v>239</v>
      </c>
      <c r="C187" s="131"/>
      <c r="D187" s="131"/>
      <c r="E187" s="131"/>
      <c r="F187" s="201"/>
      <c r="G187" s="7"/>
      <c r="H187" s="148">
        <v>2.25</v>
      </c>
      <c r="I187" s="131">
        <v>8825674.1571309995</v>
      </c>
      <c r="J187" s="288">
        <v>4319553.6961315526</v>
      </c>
      <c r="K187" s="251">
        <f t="shared" si="71"/>
        <v>0.48943045247613454</v>
      </c>
      <c r="L187" s="68"/>
      <c r="M187" s="5"/>
      <c r="N187" s="40"/>
      <c r="O187" s="5"/>
      <c r="P187" s="5"/>
      <c r="Q187" s="5"/>
    </row>
    <row r="188" spans="1:17" x14ac:dyDescent="0.3">
      <c r="A188" s="5" t="s">
        <v>130</v>
      </c>
      <c r="B188" s="9" t="s">
        <v>264</v>
      </c>
      <c r="C188" s="26">
        <v>2.25</v>
      </c>
      <c r="D188" s="26">
        <v>8125000</v>
      </c>
      <c r="E188" s="26">
        <v>3686647.5</v>
      </c>
      <c r="F188" s="197">
        <f t="shared" si="87"/>
        <v>0.45374123076923079</v>
      </c>
      <c r="G188" s="7"/>
      <c r="H188" s="154"/>
      <c r="I188" s="27"/>
      <c r="J188" s="260"/>
      <c r="K188" s="9"/>
      <c r="L188" s="68"/>
      <c r="M188" s="5"/>
      <c r="N188" s="40"/>
      <c r="O188" s="5"/>
      <c r="P188" s="5"/>
      <c r="Q188" s="5"/>
    </row>
    <row r="189" spans="1:17" x14ac:dyDescent="0.3">
      <c r="A189" s="5" t="s">
        <v>130</v>
      </c>
      <c r="B189" s="11" t="s">
        <v>237</v>
      </c>
      <c r="C189" s="132">
        <v>4.5</v>
      </c>
      <c r="D189" s="132">
        <v>11938162.5</v>
      </c>
      <c r="E189" s="132">
        <v>4441453.6837499999</v>
      </c>
      <c r="F189" s="198">
        <f t="shared" si="87"/>
        <v>0.3720383001781053</v>
      </c>
      <c r="G189" s="7"/>
      <c r="H189" s="155">
        <v>2.25</v>
      </c>
      <c r="I189" s="28">
        <v>5225236.3320000004</v>
      </c>
      <c r="J189" s="289">
        <v>1821554.4420300005</v>
      </c>
      <c r="K189" s="247">
        <f t="shared" si="71"/>
        <v>0.34860709186962002</v>
      </c>
      <c r="L189" s="307"/>
      <c r="M189" s="98"/>
      <c r="N189" s="300"/>
      <c r="O189" s="5"/>
      <c r="P189" s="5"/>
      <c r="Q189" s="5"/>
    </row>
    <row r="190" spans="1:17" x14ac:dyDescent="0.3">
      <c r="A190" s="5" t="s">
        <v>130</v>
      </c>
      <c r="B190" s="9" t="s">
        <v>328</v>
      </c>
      <c r="C190" s="26">
        <v>2.25</v>
      </c>
      <c r="D190" s="26">
        <v>7988224.7301258566</v>
      </c>
      <c r="E190" s="26">
        <v>3520011.2536980249</v>
      </c>
      <c r="F190" s="197">
        <f t="shared" si="87"/>
        <v>0.44065000330086684</v>
      </c>
      <c r="G190" s="7"/>
      <c r="H190" s="154"/>
      <c r="I190" s="27"/>
      <c r="J190" s="260"/>
      <c r="K190" s="9"/>
      <c r="L190" s="68"/>
      <c r="M190" s="5"/>
      <c r="N190" s="40"/>
      <c r="O190" s="5"/>
      <c r="P190" s="5"/>
      <c r="Q190" s="5"/>
    </row>
    <row r="191" spans="1:17" x14ac:dyDescent="0.3">
      <c r="A191" s="5" t="s">
        <v>130</v>
      </c>
      <c r="B191" s="11" t="s">
        <v>238</v>
      </c>
      <c r="C191" s="132">
        <v>2.2000000000000002</v>
      </c>
      <c r="D191" s="132">
        <v>4511118.5709799994</v>
      </c>
      <c r="E191" s="132">
        <v>1501597.3911329496</v>
      </c>
      <c r="F191" s="198">
        <f t="shared" si="87"/>
        <v>0.33286586630480458</v>
      </c>
      <c r="G191" s="7"/>
      <c r="H191" s="178">
        <v>2.25</v>
      </c>
      <c r="I191" s="132">
        <v>2903762.3574172002</v>
      </c>
      <c r="J191" s="196">
        <v>1616099.872745313</v>
      </c>
      <c r="K191" s="247">
        <f t="shared" si="71"/>
        <v>0.55655376502048881</v>
      </c>
      <c r="L191" s="68"/>
      <c r="M191" s="5"/>
      <c r="N191" s="40"/>
      <c r="O191" s="5"/>
      <c r="P191" s="5"/>
      <c r="Q191" s="5"/>
    </row>
    <row r="192" spans="1:17" s="37" customFormat="1" x14ac:dyDescent="0.3">
      <c r="A192" s="4" t="s">
        <v>241</v>
      </c>
      <c r="B192" s="4"/>
      <c r="C192" s="314">
        <f>SUM(C182:C191)</f>
        <v>18.93</v>
      </c>
      <c r="D192" s="314">
        <f t="shared" ref="D192:E192" si="88">SUM(D182:D191)</f>
        <v>48387052.363605857</v>
      </c>
      <c r="E192" s="314">
        <f t="shared" si="88"/>
        <v>17406567.713424727</v>
      </c>
      <c r="F192" s="315">
        <f t="shared" si="87"/>
        <v>0.35973606291663701</v>
      </c>
      <c r="G192" s="7"/>
      <c r="H192" s="316">
        <f>SUM(H182:H191)</f>
        <v>46</v>
      </c>
      <c r="I192" s="314">
        <f t="shared" ref="I192" si="89">SUM(I182:I191)</f>
        <v>78346043.702548191</v>
      </c>
      <c r="J192" s="317">
        <f t="shared" ref="J192" si="90">SUM(J182:J191)</f>
        <v>34725630.717896864</v>
      </c>
      <c r="K192" s="91">
        <f t="shared" si="71"/>
        <v>0.44323400489420528</v>
      </c>
      <c r="L192" s="307">
        <f>+H192-C192</f>
        <v>27.07</v>
      </c>
      <c r="M192" s="98">
        <f>+I192-D192</f>
        <v>29958991.338942334</v>
      </c>
      <c r="N192" s="300">
        <f>+J192-E192</f>
        <v>17319063.004472136</v>
      </c>
      <c r="O192" s="4"/>
      <c r="P192" s="4"/>
      <c r="Q192" s="4"/>
    </row>
    <row r="193" spans="1:17" x14ac:dyDescent="0.3">
      <c r="A193" s="5" t="s">
        <v>137</v>
      </c>
      <c r="B193" s="9" t="s">
        <v>329</v>
      </c>
      <c r="C193" s="26">
        <v>1.4</v>
      </c>
      <c r="D193" s="26">
        <v>1345312.5</v>
      </c>
      <c r="E193" s="26">
        <v>593842.96875</v>
      </c>
      <c r="F193" s="197">
        <f t="shared" si="87"/>
        <v>0.44141637630662023</v>
      </c>
      <c r="G193" s="7"/>
      <c r="H193" s="154"/>
      <c r="I193" s="27"/>
      <c r="J193" s="260"/>
      <c r="K193" s="9"/>
      <c r="L193" s="68"/>
      <c r="M193" s="5"/>
      <c r="N193" s="40"/>
      <c r="O193" s="5"/>
      <c r="P193" s="5"/>
      <c r="Q193" s="5"/>
    </row>
    <row r="194" spans="1:17" x14ac:dyDescent="0.3">
      <c r="A194" s="5" t="s">
        <v>137</v>
      </c>
      <c r="B194" s="16" t="s">
        <v>297</v>
      </c>
      <c r="C194" s="128"/>
      <c r="D194" s="128"/>
      <c r="E194" s="128"/>
      <c r="F194" s="206"/>
      <c r="G194" s="7"/>
      <c r="H194" s="177">
        <v>2.25</v>
      </c>
      <c r="I194" s="80">
        <v>4117248.1904579997</v>
      </c>
      <c r="J194" s="285">
        <v>1842328.3258966948</v>
      </c>
      <c r="K194" s="251">
        <f t="shared" si="71"/>
        <v>0.44746593857674521</v>
      </c>
      <c r="L194" s="307"/>
      <c r="M194" s="4"/>
      <c r="N194" s="269"/>
      <c r="O194" s="5"/>
      <c r="P194" s="5"/>
      <c r="Q194" s="5"/>
    </row>
    <row r="195" spans="1:17" x14ac:dyDescent="0.3">
      <c r="A195" s="5" t="s">
        <v>137</v>
      </c>
      <c r="B195" s="16"/>
      <c r="C195" s="128"/>
      <c r="D195" s="128"/>
      <c r="E195" s="128"/>
      <c r="F195" s="206"/>
      <c r="G195" s="7"/>
      <c r="H195" s="177"/>
      <c r="I195" s="80"/>
      <c r="J195" s="285"/>
      <c r="K195" s="91"/>
      <c r="L195" s="307"/>
      <c r="M195" s="4"/>
      <c r="N195" s="269"/>
      <c r="O195" s="5"/>
      <c r="P195" s="5"/>
      <c r="Q195" s="5"/>
    </row>
    <row r="196" spans="1:17" x14ac:dyDescent="0.3">
      <c r="A196" s="5" t="s">
        <v>137</v>
      </c>
      <c r="B196" s="9" t="s">
        <v>395</v>
      </c>
      <c r="C196" s="26">
        <v>6.75</v>
      </c>
      <c r="D196" s="26">
        <v>7579453.125</v>
      </c>
      <c r="E196" s="26">
        <v>2914525.0962672932</v>
      </c>
      <c r="F196" s="197">
        <f t="shared" si="87"/>
        <v>0.3845297342962713</v>
      </c>
      <c r="G196" s="7"/>
      <c r="H196" s="153">
        <v>4.5</v>
      </c>
      <c r="I196" s="26">
        <v>7362236.4000000004</v>
      </c>
      <c r="J196" s="313">
        <v>2871606.6285000001</v>
      </c>
      <c r="K196" s="312">
        <f t="shared" si="71"/>
        <v>0.39004542539546816</v>
      </c>
      <c r="L196" s="68"/>
      <c r="M196" s="5"/>
      <c r="N196" s="40"/>
      <c r="O196" s="5"/>
      <c r="P196" s="5"/>
      <c r="Q196" s="5"/>
    </row>
    <row r="197" spans="1:17" s="37" customFormat="1" x14ac:dyDescent="0.3">
      <c r="A197" s="4" t="s">
        <v>245</v>
      </c>
      <c r="B197" s="4"/>
      <c r="C197" s="314">
        <f>SUM(C193:C196)</f>
        <v>8.15</v>
      </c>
      <c r="D197" s="314">
        <f>SUM(D193:D196)</f>
        <v>8924765.625</v>
      </c>
      <c r="E197" s="314">
        <f>SUM(E193:E196)</f>
        <v>3508368.0650172932</v>
      </c>
      <c r="F197" s="315">
        <f t="shared" si="87"/>
        <v>0.39310478419620049</v>
      </c>
      <c r="G197" s="7"/>
      <c r="H197" s="184">
        <f>+SUM(H193:H196)</f>
        <v>6.75</v>
      </c>
      <c r="I197" s="95">
        <f>+SUM(I193:I196)</f>
        <v>11479484.590458</v>
      </c>
      <c r="J197" s="299">
        <f>+SUM(J193:J196)</f>
        <v>4713934.9543966949</v>
      </c>
      <c r="K197" s="91">
        <f t="shared" si="71"/>
        <v>0.4106399479219669</v>
      </c>
      <c r="L197" s="307">
        <f>+H197-C197</f>
        <v>-1.4000000000000004</v>
      </c>
      <c r="M197" s="98">
        <f>+I197-D197</f>
        <v>2554718.9654580001</v>
      </c>
      <c r="N197" s="300">
        <f>+J197-E197</f>
        <v>1205566.8893794017</v>
      </c>
      <c r="O197" s="4"/>
      <c r="P197" s="4"/>
      <c r="Q197" s="4"/>
    </row>
    <row r="198" spans="1:17" x14ac:dyDescent="0.3">
      <c r="A198" s="5" t="s">
        <v>115</v>
      </c>
      <c r="B198" s="9" t="s">
        <v>246</v>
      </c>
      <c r="C198" s="26">
        <v>2.25</v>
      </c>
      <c r="D198" s="26">
        <v>2561289.0625</v>
      </c>
      <c r="E198" s="26">
        <v>1087764.05859375</v>
      </c>
      <c r="F198" s="197">
        <f t="shared" si="87"/>
        <v>0.42469398496240601</v>
      </c>
      <c r="G198" s="7"/>
      <c r="H198" s="154"/>
      <c r="I198" s="27"/>
      <c r="J198" s="260"/>
      <c r="K198" s="9"/>
      <c r="L198" s="68"/>
      <c r="M198" s="5"/>
      <c r="N198" s="40"/>
      <c r="O198" s="5"/>
      <c r="P198" s="5"/>
      <c r="Q198" s="5"/>
    </row>
    <row r="199" spans="1:17" x14ac:dyDescent="0.3">
      <c r="A199" s="5" t="s">
        <v>115</v>
      </c>
      <c r="B199" s="77" t="s">
        <v>303</v>
      </c>
      <c r="C199" s="129"/>
      <c r="D199" s="129"/>
      <c r="E199" s="129"/>
      <c r="F199" s="224"/>
      <c r="G199" s="7"/>
      <c r="H199" s="177">
        <v>0.9</v>
      </c>
      <c r="I199" s="129">
        <v>809534.4</v>
      </c>
      <c r="J199" s="290">
        <v>213841.18725000008</v>
      </c>
      <c r="K199" s="251">
        <f t="shared" si="71"/>
        <v>0.26415330497382206</v>
      </c>
      <c r="L199" s="310"/>
      <c r="M199" s="76"/>
      <c r="N199" s="358"/>
      <c r="O199" s="5"/>
      <c r="P199" s="5"/>
      <c r="Q199" s="5"/>
    </row>
    <row r="200" spans="1:17" x14ac:dyDescent="0.3">
      <c r="A200" s="5" t="s">
        <v>115</v>
      </c>
      <c r="B200" s="11" t="s">
        <v>301</v>
      </c>
      <c r="C200" s="132">
        <v>1</v>
      </c>
      <c r="D200" s="132">
        <v>2449762.5</v>
      </c>
      <c r="E200" s="132">
        <v>450642.84374999988</v>
      </c>
      <c r="F200" s="198">
        <f t="shared" si="87"/>
        <v>0.18395368683698926</v>
      </c>
      <c r="G200" s="7"/>
      <c r="H200" s="155">
        <v>0.9</v>
      </c>
      <c r="I200" s="28">
        <v>856409.5</v>
      </c>
      <c r="J200" s="287">
        <v>384938.36499999999</v>
      </c>
      <c r="K200" s="247">
        <f t="shared" si="71"/>
        <v>0.44947932618683001</v>
      </c>
      <c r="L200" s="68"/>
      <c r="M200" s="5"/>
      <c r="N200" s="40"/>
      <c r="O200" s="5"/>
      <c r="P200" s="5"/>
      <c r="Q200" s="5"/>
    </row>
    <row r="201" spans="1:17" x14ac:dyDescent="0.3">
      <c r="A201" s="5" t="s">
        <v>115</v>
      </c>
      <c r="B201" s="9" t="s">
        <v>331</v>
      </c>
      <c r="C201" s="26">
        <v>2.25</v>
      </c>
      <c r="D201" s="26">
        <v>9587500</v>
      </c>
      <c r="E201" s="26">
        <v>3883601.25</v>
      </c>
      <c r="F201" s="197">
        <f t="shared" si="87"/>
        <v>0.40506923076923079</v>
      </c>
      <c r="G201" s="7"/>
      <c r="H201" s="154"/>
      <c r="I201" s="27"/>
      <c r="J201" s="260"/>
      <c r="K201" s="9"/>
      <c r="L201" s="68"/>
      <c r="M201" s="5"/>
      <c r="N201" s="40"/>
      <c r="O201" s="5"/>
      <c r="P201" s="5"/>
      <c r="Q201" s="5"/>
    </row>
    <row r="202" spans="1:17" s="37" customFormat="1" x14ac:dyDescent="0.3">
      <c r="A202" s="4" t="s">
        <v>249</v>
      </c>
      <c r="B202" s="4"/>
      <c r="C202" s="314">
        <f>SUM(C198:C201)</f>
        <v>5.5</v>
      </c>
      <c r="D202" s="314">
        <f>SUM(D198:D201)</f>
        <v>14598551.5625</v>
      </c>
      <c r="E202" s="314">
        <f>SUM(E198:E201)</f>
        <v>5422008.15234375</v>
      </c>
      <c r="F202" s="315">
        <f t="shared" si="87"/>
        <v>0.37140726798345686</v>
      </c>
      <c r="G202" s="7"/>
      <c r="H202" s="316">
        <f>SUM(H198:H201)</f>
        <v>1.8</v>
      </c>
      <c r="I202" s="314">
        <f>SUM(I198:I201)</f>
        <v>1665943.9</v>
      </c>
      <c r="J202" s="317">
        <f>SUM(J198:J201)</f>
        <v>598779.55225000007</v>
      </c>
      <c r="K202" s="91">
        <f t="shared" si="71"/>
        <v>0.35942359898793719</v>
      </c>
      <c r="L202" s="307">
        <f>+H202-C202</f>
        <v>-3.7</v>
      </c>
      <c r="M202" s="98">
        <f>+I202-D202</f>
        <v>-12932607.6625</v>
      </c>
      <c r="N202" s="300">
        <f>+J202-E202</f>
        <v>-4823228.6000937503</v>
      </c>
      <c r="O202" s="4"/>
      <c r="P202" s="4"/>
      <c r="Q202" s="4"/>
    </row>
    <row r="203" spans="1:17" x14ac:dyDescent="0.3">
      <c r="A203" s="5" t="s">
        <v>127</v>
      </c>
      <c r="B203" s="9" t="s">
        <v>250</v>
      </c>
      <c r="C203" s="237">
        <v>1.7</v>
      </c>
      <c r="D203" s="237">
        <v>4390496.8250000002</v>
      </c>
      <c r="E203" s="237">
        <v>2430898.1964375004</v>
      </c>
      <c r="F203" s="203">
        <f t="shared" si="87"/>
        <v>0.55367269202785507</v>
      </c>
      <c r="G203" s="133"/>
      <c r="H203" s="154"/>
      <c r="I203" s="27"/>
      <c r="J203" s="260"/>
      <c r="K203" s="9"/>
      <c r="L203" s="68"/>
      <c r="M203" s="5"/>
      <c r="N203" s="40"/>
      <c r="O203" s="5"/>
      <c r="P203" s="5"/>
      <c r="Q203" s="5"/>
    </row>
    <row r="204" spans="1:17" x14ac:dyDescent="0.3">
      <c r="A204" s="5" t="s">
        <v>127</v>
      </c>
      <c r="B204" s="11" t="s">
        <v>252</v>
      </c>
      <c r="C204" s="88">
        <v>2.25</v>
      </c>
      <c r="D204" s="88">
        <v>3937953.125</v>
      </c>
      <c r="E204" s="88">
        <v>1293041.7749999999</v>
      </c>
      <c r="F204" s="202">
        <f t="shared" si="87"/>
        <v>0.32835377516079495</v>
      </c>
      <c r="G204" s="133"/>
      <c r="H204" s="155">
        <v>8.25</v>
      </c>
      <c r="I204" s="28">
        <v>13656077.881250001</v>
      </c>
      <c r="J204" s="287">
        <v>5099238.6624999987</v>
      </c>
      <c r="K204" s="247">
        <f t="shared" si="71"/>
        <v>0.37340433372171444</v>
      </c>
      <c r="L204" s="68"/>
      <c r="M204" s="5"/>
      <c r="N204" s="40"/>
      <c r="O204" s="5"/>
      <c r="P204" s="5"/>
      <c r="Q204" s="5"/>
    </row>
    <row r="205" spans="1:17" x14ac:dyDescent="0.3">
      <c r="A205" s="5" t="s">
        <v>127</v>
      </c>
      <c r="B205" s="16" t="s">
        <v>306</v>
      </c>
      <c r="C205" s="16"/>
      <c r="D205" s="16"/>
      <c r="E205" s="16"/>
      <c r="F205" s="216"/>
      <c r="G205" s="133"/>
      <c r="H205" s="17">
        <v>2.25</v>
      </c>
      <c r="I205" s="17">
        <v>3074544.2039999999</v>
      </c>
      <c r="J205" s="257">
        <v>1297595.4245399998</v>
      </c>
      <c r="K205" s="251">
        <f t="shared" ref="K205:K217" si="91">+J205/I205</f>
        <v>0.42204481004105276</v>
      </c>
      <c r="L205" s="68"/>
      <c r="M205" s="5"/>
      <c r="N205" s="40"/>
      <c r="O205" s="5"/>
      <c r="P205" s="5"/>
      <c r="Q205" s="5"/>
    </row>
    <row r="206" spans="1:17" x14ac:dyDescent="0.3">
      <c r="A206" s="5" t="s">
        <v>127</v>
      </c>
      <c r="B206" s="9" t="s">
        <v>332</v>
      </c>
      <c r="C206" s="237">
        <v>1.75</v>
      </c>
      <c r="D206" s="237">
        <v>4963612.5</v>
      </c>
      <c r="E206" s="237">
        <v>2438580.4987499998</v>
      </c>
      <c r="F206" s="203">
        <f t="shared" si="87"/>
        <v>0.49129147344801793</v>
      </c>
      <c r="G206" s="133"/>
      <c r="H206" s="154"/>
      <c r="I206" s="27"/>
      <c r="J206" s="260"/>
      <c r="K206" s="9"/>
      <c r="L206" s="68"/>
      <c r="M206" s="5"/>
      <c r="N206" s="40"/>
      <c r="O206" s="5"/>
      <c r="P206" s="5"/>
      <c r="Q206" s="5"/>
    </row>
    <row r="207" spans="1:17" x14ac:dyDescent="0.3">
      <c r="A207" s="5" t="s">
        <v>127</v>
      </c>
      <c r="B207" s="9" t="s">
        <v>254</v>
      </c>
      <c r="C207" s="237">
        <v>2.25</v>
      </c>
      <c r="D207" s="237">
        <v>5679134.2080000006</v>
      </c>
      <c r="E207" s="237">
        <v>1201401.6883200004</v>
      </c>
      <c r="F207" s="203">
        <f t="shared" si="87"/>
        <v>0.21154662741155639</v>
      </c>
      <c r="G207" s="133"/>
      <c r="H207" s="154"/>
      <c r="I207" s="27"/>
      <c r="J207" s="260"/>
      <c r="K207" s="9"/>
      <c r="L207" s="68"/>
      <c r="M207" s="5"/>
      <c r="N207" s="40"/>
      <c r="O207" s="5"/>
      <c r="P207" s="5"/>
      <c r="Q207" s="5"/>
    </row>
    <row r="208" spans="1:17" x14ac:dyDescent="0.3">
      <c r="A208" s="5" t="s">
        <v>127</v>
      </c>
      <c r="B208" s="9" t="s">
        <v>318</v>
      </c>
      <c r="C208" s="237">
        <v>2.25</v>
      </c>
      <c r="D208" s="237">
        <v>2891206.25</v>
      </c>
      <c r="E208" s="237">
        <v>1425701.309375</v>
      </c>
      <c r="F208" s="203">
        <f t="shared" si="87"/>
        <v>0.49311643172291841</v>
      </c>
      <c r="G208" s="133"/>
      <c r="H208" s="154"/>
      <c r="I208" s="27"/>
      <c r="J208" s="260"/>
      <c r="K208" s="9"/>
      <c r="L208" s="68"/>
      <c r="M208" s="5"/>
      <c r="N208" s="40"/>
      <c r="O208" s="5"/>
      <c r="P208" s="5"/>
      <c r="Q208" s="5"/>
    </row>
    <row r="209" spans="1:17" x14ac:dyDescent="0.3">
      <c r="A209" s="5" t="s">
        <v>127</v>
      </c>
      <c r="B209" s="11" t="s">
        <v>256</v>
      </c>
      <c r="C209" s="88">
        <v>2.25</v>
      </c>
      <c r="D209" s="88">
        <v>6218890.625</v>
      </c>
      <c r="E209" s="88">
        <v>2973971.8359375</v>
      </c>
      <c r="F209" s="202">
        <f t="shared" si="87"/>
        <v>0.47821581295900345</v>
      </c>
      <c r="G209" s="133"/>
      <c r="H209" s="179">
        <v>2.25</v>
      </c>
      <c r="I209" s="126">
        <v>7108002.125</v>
      </c>
      <c r="J209" s="291">
        <v>4342826.5084374994</v>
      </c>
      <c r="K209" s="247">
        <f t="shared" si="91"/>
        <v>0.61097709765210562</v>
      </c>
      <c r="L209" s="68"/>
      <c r="M209" s="5"/>
      <c r="N209" s="40"/>
      <c r="O209" s="5"/>
      <c r="P209" s="5"/>
      <c r="Q209" s="5"/>
    </row>
    <row r="210" spans="1:17" x14ac:dyDescent="0.3">
      <c r="A210" s="5" t="s">
        <v>127</v>
      </c>
      <c r="B210" s="16" t="s">
        <v>333</v>
      </c>
      <c r="C210" s="134"/>
      <c r="D210" s="134"/>
      <c r="E210" s="134"/>
      <c r="F210" s="225"/>
      <c r="G210" s="135"/>
      <c r="H210" s="180">
        <v>4.5</v>
      </c>
      <c r="I210" s="97">
        <v>8505221.7650000006</v>
      </c>
      <c r="J210" s="292">
        <v>3295484.7727875006</v>
      </c>
      <c r="K210" s="251">
        <f t="shared" si="91"/>
        <v>0.38746606071446749</v>
      </c>
      <c r="L210" s="68"/>
      <c r="M210" s="5"/>
      <c r="N210" s="40"/>
      <c r="O210" s="5"/>
      <c r="P210" s="5"/>
      <c r="Q210" s="5"/>
    </row>
    <row r="211" spans="1:17" x14ac:dyDescent="0.3">
      <c r="A211" s="5" t="s">
        <v>127</v>
      </c>
      <c r="B211" s="16" t="s">
        <v>255</v>
      </c>
      <c r="C211" s="134"/>
      <c r="D211" s="134"/>
      <c r="E211" s="134"/>
      <c r="F211" s="225"/>
      <c r="G211" s="135"/>
      <c r="H211" s="181">
        <v>0.3</v>
      </c>
      <c r="I211" s="125">
        <v>815438.60222457629</v>
      </c>
      <c r="J211" s="125">
        <v>491323.63972457638</v>
      </c>
      <c r="K211" s="251">
        <f t="shared" si="91"/>
        <v>0.60252683449644084</v>
      </c>
      <c r="L211" s="68"/>
      <c r="M211" s="5"/>
      <c r="N211" s="40"/>
      <c r="O211" s="5"/>
      <c r="P211" s="5"/>
      <c r="Q211" s="5"/>
    </row>
    <row r="212" spans="1:17" x14ac:dyDescent="0.3">
      <c r="A212" s="5" t="s">
        <v>127</v>
      </c>
      <c r="B212" s="16" t="s">
        <v>334</v>
      </c>
      <c r="C212" s="134"/>
      <c r="D212" s="134"/>
      <c r="E212" s="134"/>
      <c r="F212" s="223"/>
      <c r="G212" s="133"/>
      <c r="H212" s="181">
        <v>0.3</v>
      </c>
      <c r="I212" s="125">
        <v>1363982.8389830508</v>
      </c>
      <c r="J212" s="125">
        <v>908284.63898305083</v>
      </c>
      <c r="K212" s="251">
        <f t="shared" si="91"/>
        <v>0.6659062071926386</v>
      </c>
      <c r="L212" s="68"/>
      <c r="M212" s="5"/>
      <c r="N212" s="40"/>
      <c r="O212" s="5"/>
      <c r="P212" s="5"/>
      <c r="Q212" s="5"/>
    </row>
    <row r="213" spans="1:17" s="37" customFormat="1" x14ac:dyDescent="0.3">
      <c r="A213" s="4" t="s">
        <v>259</v>
      </c>
      <c r="B213" s="4"/>
      <c r="C213" s="22">
        <f>SUM(C203:C212)</f>
        <v>12.45</v>
      </c>
      <c r="D213" s="22">
        <f>SUM(D203:D212)</f>
        <v>28081293.533</v>
      </c>
      <c r="E213" s="22">
        <f>SUM(E203:E212)</f>
        <v>11763595.303820001</v>
      </c>
      <c r="F213" s="200">
        <f t="shared" si="87"/>
        <v>0.41891215908540325</v>
      </c>
      <c r="G213" s="136"/>
      <c r="H213" s="149">
        <f>SUM(H203:H212)</f>
        <v>17.850000000000001</v>
      </c>
      <c r="I213" s="22">
        <f>SUM(I203:I212)</f>
        <v>34523267.416457631</v>
      </c>
      <c r="J213" s="293">
        <f>SUM(J203:J212)</f>
        <v>15434753.646972626</v>
      </c>
      <c r="K213" s="91">
        <f t="shared" si="91"/>
        <v>0.44708264315719737</v>
      </c>
      <c r="L213" s="307">
        <f>+H213-C213</f>
        <v>5.4000000000000021</v>
      </c>
      <c r="M213" s="98">
        <f>+I213-D213</f>
        <v>6441973.8834576309</v>
      </c>
      <c r="N213" s="300">
        <f>+J213-E213</f>
        <v>3671158.3431526255</v>
      </c>
      <c r="O213" s="4"/>
      <c r="P213" s="4"/>
      <c r="Q213" s="4"/>
    </row>
    <row r="214" spans="1:17" s="37" customFormat="1" x14ac:dyDescent="0.3">
      <c r="A214" s="4"/>
      <c r="B214" s="4"/>
      <c r="C214" s="13"/>
      <c r="D214" s="13"/>
      <c r="E214" s="13"/>
      <c r="F214" s="200"/>
      <c r="G214" s="48"/>
      <c r="H214" s="163"/>
      <c r="I214" s="4"/>
      <c r="J214" s="269"/>
      <c r="K214" s="91"/>
      <c r="L214" s="308"/>
      <c r="M214" s="4"/>
      <c r="N214" s="269"/>
      <c r="O214" s="4"/>
      <c r="P214" s="4"/>
      <c r="Q214" s="4"/>
    </row>
    <row r="215" spans="1:17" s="37" customFormat="1" x14ac:dyDescent="0.3">
      <c r="A215" s="4" t="s">
        <v>260</v>
      </c>
      <c r="B215" s="4"/>
      <c r="C215" s="22">
        <f>C213</f>
        <v>12.45</v>
      </c>
      <c r="D215" s="22">
        <f>D213</f>
        <v>28081293.533</v>
      </c>
      <c r="E215" s="22">
        <f>E213</f>
        <v>11763595.303820001</v>
      </c>
      <c r="F215" s="200">
        <f t="shared" si="87"/>
        <v>0.41891215908540325</v>
      </c>
      <c r="G215" s="48"/>
      <c r="H215" s="149">
        <f>H213</f>
        <v>17.850000000000001</v>
      </c>
      <c r="I215" s="22">
        <f>I213</f>
        <v>34523267.416457631</v>
      </c>
      <c r="J215" s="293">
        <f>J213</f>
        <v>15434753.646972626</v>
      </c>
      <c r="K215" s="91">
        <f t="shared" si="91"/>
        <v>0.44708264315719737</v>
      </c>
      <c r="L215" s="307">
        <f t="shared" ref="L215:L216" si="92">+H215-C215</f>
        <v>5.4000000000000021</v>
      </c>
      <c r="M215" s="98">
        <f t="shared" ref="M215:M217" si="93">+I215-D215</f>
        <v>6441973.8834576309</v>
      </c>
      <c r="N215" s="300">
        <f t="shared" ref="N215:N217" si="94">+J215-E215</f>
        <v>3671158.3431526255</v>
      </c>
      <c r="O215" s="4"/>
      <c r="P215" s="4"/>
      <c r="Q215" s="4"/>
    </row>
    <row r="216" spans="1:17" s="37" customFormat="1" x14ac:dyDescent="0.3">
      <c r="A216" s="4" t="s">
        <v>261</v>
      </c>
      <c r="B216" s="4"/>
      <c r="C216" s="22">
        <f>C192+C197+C202</f>
        <v>32.58</v>
      </c>
      <c r="D216" s="22">
        <f>D192+D197+D202</f>
        <v>71910369.551105857</v>
      </c>
      <c r="E216" s="22">
        <f>E192+E197+E202</f>
        <v>26336943.930785771</v>
      </c>
      <c r="F216" s="200">
        <f t="shared" si="87"/>
        <v>0.36624681663008857</v>
      </c>
      <c r="G216" s="48"/>
      <c r="H216" s="149">
        <f>H192+H197+H202</f>
        <v>54.55</v>
      </c>
      <c r="I216" s="22">
        <f>I192+I197+I202</f>
        <v>91491472.193006203</v>
      </c>
      <c r="J216" s="293">
        <f>J192+J197+J202</f>
        <v>40038345.224543557</v>
      </c>
      <c r="K216" s="91">
        <f t="shared" si="91"/>
        <v>0.43761832949939317</v>
      </c>
      <c r="L216" s="307">
        <f t="shared" si="92"/>
        <v>21.97</v>
      </c>
      <c r="M216" s="98">
        <f t="shared" si="93"/>
        <v>19581102.641900346</v>
      </c>
      <c r="N216" s="300">
        <f t="shared" si="94"/>
        <v>13701401.293757785</v>
      </c>
      <c r="O216" s="4"/>
      <c r="P216" s="4"/>
      <c r="Q216" s="4"/>
    </row>
    <row r="217" spans="1:17" s="37" customFormat="1" x14ac:dyDescent="0.3">
      <c r="A217" s="4" t="s">
        <v>262</v>
      </c>
      <c r="B217" s="4"/>
      <c r="C217" s="22">
        <f>+C215+C216</f>
        <v>45.03</v>
      </c>
      <c r="D217" s="22">
        <f t="shared" ref="D217:J217" si="95">+D215+D216</f>
        <v>99991663.084105849</v>
      </c>
      <c r="E217" s="22">
        <f t="shared" si="95"/>
        <v>38100539.234605774</v>
      </c>
      <c r="F217" s="200">
        <f t="shared" si="87"/>
        <v>0.38103715909353686</v>
      </c>
      <c r="G217" s="14">
        <f t="shared" si="95"/>
        <v>0</v>
      </c>
      <c r="H217" s="149">
        <f>+H215+H216</f>
        <v>72.400000000000006</v>
      </c>
      <c r="I217" s="22">
        <f t="shared" si="95"/>
        <v>126014739.60946384</v>
      </c>
      <c r="J217" s="293">
        <f t="shared" si="95"/>
        <v>55473098.871516183</v>
      </c>
      <c r="K217" s="91">
        <f t="shared" si="91"/>
        <v>0.44021119309879597</v>
      </c>
      <c r="L217" s="307">
        <f>+H217-C217</f>
        <v>27.370000000000005</v>
      </c>
      <c r="M217" s="98">
        <f t="shared" si="93"/>
        <v>26023076.525357991</v>
      </c>
      <c r="N217" s="300">
        <f t="shared" si="94"/>
        <v>17372559.636910409</v>
      </c>
      <c r="O217" s="4"/>
      <c r="P217" s="4"/>
      <c r="Q217" s="4"/>
    </row>
    <row r="218" spans="1:17" x14ac:dyDescent="0.3">
      <c r="A218" s="3"/>
      <c r="B218" s="3"/>
      <c r="C218" s="23"/>
      <c r="D218" s="23"/>
      <c r="E218" s="23"/>
      <c r="F218" s="204"/>
      <c r="G218" s="362"/>
      <c r="H218" s="151"/>
      <c r="I218" s="3"/>
      <c r="J218" s="3"/>
      <c r="K218" s="3"/>
      <c r="L218" s="3"/>
      <c r="M218" s="3"/>
      <c r="N218" s="3"/>
      <c r="O218" s="5"/>
      <c r="P218" s="5"/>
      <c r="Q218" s="5"/>
    </row>
    <row r="219" spans="1:17" x14ac:dyDescent="0.3">
      <c r="A219" s="3"/>
      <c r="B219" s="3"/>
      <c r="C219" s="23"/>
      <c r="D219" s="23"/>
      <c r="E219" s="23"/>
      <c r="F219" s="204"/>
      <c r="G219" s="362"/>
      <c r="H219" s="151"/>
      <c r="I219" s="3"/>
      <c r="J219" s="3"/>
      <c r="K219" s="3"/>
      <c r="L219" s="3"/>
      <c r="M219" s="3"/>
      <c r="N219" s="3"/>
      <c r="O219" s="5"/>
      <c r="P219" s="5"/>
      <c r="Q219" s="5"/>
    </row>
    <row r="220" spans="1:17" x14ac:dyDescent="0.3">
      <c r="A220" s="4" t="s">
        <v>226</v>
      </c>
      <c r="B220" s="4" t="s">
        <v>335</v>
      </c>
      <c r="C220" s="338" t="s">
        <v>228</v>
      </c>
      <c r="D220" s="338"/>
      <c r="E220" s="338"/>
      <c r="F220" s="338"/>
      <c r="G220" s="338"/>
      <c r="H220" s="336" t="s">
        <v>229</v>
      </c>
      <c r="I220" s="336"/>
      <c r="J220" s="336"/>
      <c r="K220" s="91"/>
      <c r="L220" s="337" t="s">
        <v>394</v>
      </c>
      <c r="M220" s="337"/>
      <c r="N220" s="337"/>
      <c r="O220" s="5"/>
      <c r="P220" s="5"/>
      <c r="Q220" s="5"/>
    </row>
    <row r="221" spans="1:17" x14ac:dyDescent="0.3">
      <c r="A221" s="5"/>
      <c r="B221" s="5"/>
      <c r="C221" s="6"/>
      <c r="D221" s="6"/>
      <c r="E221" s="6"/>
      <c r="F221" s="199"/>
      <c r="G221" s="7"/>
      <c r="H221" s="66"/>
      <c r="I221" s="5"/>
      <c r="J221" s="40"/>
      <c r="K221" s="91"/>
      <c r="L221" s="68"/>
      <c r="M221" s="5"/>
      <c r="N221" s="40"/>
      <c r="O221" s="5"/>
      <c r="P221" s="5"/>
      <c r="Q221" s="5"/>
    </row>
    <row r="222" spans="1:17" x14ac:dyDescent="0.3">
      <c r="A222" s="5" t="s">
        <v>230</v>
      </c>
      <c r="B222" s="5" t="s">
        <v>231</v>
      </c>
      <c r="C222" s="6" t="s">
        <v>232</v>
      </c>
      <c r="D222" s="6" t="s">
        <v>233</v>
      </c>
      <c r="E222" s="6" t="s">
        <v>234</v>
      </c>
      <c r="F222" s="231" t="s">
        <v>396</v>
      </c>
      <c r="G222" s="8"/>
      <c r="H222" s="141" t="s">
        <v>232</v>
      </c>
      <c r="I222" s="6" t="s">
        <v>233</v>
      </c>
      <c r="J222" s="252" t="s">
        <v>234</v>
      </c>
      <c r="K222" s="231" t="s">
        <v>396</v>
      </c>
      <c r="L222" s="306" t="s">
        <v>232</v>
      </c>
      <c r="M222" s="6" t="s">
        <v>233</v>
      </c>
      <c r="N222" s="252" t="s">
        <v>234</v>
      </c>
      <c r="O222" s="5"/>
      <c r="P222" s="5"/>
      <c r="Q222" s="5"/>
    </row>
    <row r="223" spans="1:17" x14ac:dyDescent="0.3">
      <c r="A223" s="5" t="s">
        <v>130</v>
      </c>
      <c r="B223" s="9" t="s">
        <v>235</v>
      </c>
      <c r="C223" s="26">
        <v>2.25</v>
      </c>
      <c r="D223" s="26">
        <v>3187590</v>
      </c>
      <c r="E223" s="26">
        <v>1516475.6249999998</v>
      </c>
      <c r="F223" s="197">
        <f t="shared" ref="F223:F263" si="96">+E223/D223</f>
        <v>0.4757436260623229</v>
      </c>
      <c r="G223" s="7"/>
      <c r="H223" s="142"/>
      <c r="I223" s="9"/>
      <c r="J223" s="253"/>
      <c r="K223" s="9"/>
      <c r="L223" s="68"/>
      <c r="M223" s="5"/>
      <c r="N223" s="40"/>
      <c r="O223" s="5"/>
      <c r="P223" s="5"/>
      <c r="Q223" s="5"/>
    </row>
    <row r="224" spans="1:17" x14ac:dyDescent="0.3">
      <c r="A224" s="5" t="s">
        <v>130</v>
      </c>
      <c r="B224" s="16" t="s">
        <v>336</v>
      </c>
      <c r="C224" s="16"/>
      <c r="D224" s="16"/>
      <c r="E224" s="16"/>
      <c r="F224" s="216"/>
      <c r="G224" s="7"/>
      <c r="H224" s="17">
        <v>1</v>
      </c>
      <c r="I224" s="17">
        <v>1362504.15</v>
      </c>
      <c r="J224" s="257">
        <v>525456.81000000006</v>
      </c>
      <c r="K224" s="251">
        <f t="shared" ref="K224" si="97">+J224/I224</f>
        <v>0.3856551996557222</v>
      </c>
      <c r="L224" s="68"/>
      <c r="M224" s="5"/>
      <c r="N224" s="40"/>
      <c r="O224" s="5"/>
      <c r="P224" s="5"/>
      <c r="Q224" s="5"/>
    </row>
    <row r="225" spans="1:17" x14ac:dyDescent="0.3">
      <c r="A225" s="5" t="s">
        <v>130</v>
      </c>
      <c r="B225" s="9" t="s">
        <v>264</v>
      </c>
      <c r="C225" s="26">
        <v>1</v>
      </c>
      <c r="D225" s="26">
        <v>2611475</v>
      </c>
      <c r="E225" s="26">
        <v>924750.81250000012</v>
      </c>
      <c r="F225" s="197">
        <f t="shared" si="96"/>
        <v>0.35411053619123295</v>
      </c>
      <c r="G225" s="7"/>
      <c r="H225" s="238"/>
      <c r="I225" s="239"/>
      <c r="J225" s="294"/>
      <c r="K225" s="9"/>
      <c r="L225" s="68"/>
      <c r="M225" s="5"/>
      <c r="N225" s="40"/>
      <c r="O225" s="5"/>
      <c r="P225" s="5"/>
      <c r="Q225" s="5"/>
    </row>
    <row r="226" spans="1:17" x14ac:dyDescent="0.3">
      <c r="A226" s="5" t="s">
        <v>130</v>
      </c>
      <c r="B226" s="11" t="s">
        <v>237</v>
      </c>
      <c r="C226" s="132">
        <v>11.25</v>
      </c>
      <c r="D226" s="132">
        <v>21965212.5</v>
      </c>
      <c r="E226" s="132">
        <v>9277541.5387500022</v>
      </c>
      <c r="F226" s="226">
        <f t="shared" si="96"/>
        <v>0.42237431296191658</v>
      </c>
      <c r="G226" s="70"/>
      <c r="H226" s="325">
        <v>13.5</v>
      </c>
      <c r="I226" s="326">
        <v>37213253.280000001</v>
      </c>
      <c r="J226" s="327">
        <v>12177175.081199998</v>
      </c>
      <c r="K226" s="247">
        <f t="shared" ref="K226:K227" si="98">+J226/I226</f>
        <v>0.32722683474020625</v>
      </c>
      <c r="L226" s="68"/>
      <c r="M226" s="5"/>
      <c r="N226" s="40"/>
      <c r="O226" s="5"/>
      <c r="P226" s="5"/>
      <c r="Q226" s="5"/>
    </row>
    <row r="227" spans="1:17" x14ac:dyDescent="0.3">
      <c r="A227" s="5" t="s">
        <v>130</v>
      </c>
      <c r="B227" s="30" t="s">
        <v>337</v>
      </c>
      <c r="C227" s="128"/>
      <c r="D227" s="128"/>
      <c r="E227" s="128"/>
      <c r="F227" s="214"/>
      <c r="G227" s="70"/>
      <c r="H227" s="322">
        <v>9</v>
      </c>
      <c r="I227" s="323">
        <v>15001330.68</v>
      </c>
      <c r="J227" s="324">
        <v>4914928.7396999998</v>
      </c>
      <c r="K227" s="251">
        <f t="shared" si="98"/>
        <v>0.32763285101452078</v>
      </c>
      <c r="L227" s="68"/>
      <c r="M227" s="5"/>
      <c r="N227" s="40"/>
      <c r="O227" s="5"/>
      <c r="P227" s="5"/>
      <c r="Q227" s="5"/>
    </row>
    <row r="228" spans="1:17" x14ac:dyDescent="0.3">
      <c r="A228" s="5" t="s">
        <v>130</v>
      </c>
      <c r="B228" s="9" t="s">
        <v>266</v>
      </c>
      <c r="C228" s="26">
        <v>0.1</v>
      </c>
      <c r="D228" s="26">
        <v>425000</v>
      </c>
      <c r="E228" s="26">
        <v>299937.49999999994</v>
      </c>
      <c r="F228" s="197">
        <f t="shared" si="96"/>
        <v>0.70573529411764691</v>
      </c>
      <c r="G228" s="7"/>
      <c r="H228" s="240"/>
      <c r="I228" s="241"/>
      <c r="J228" s="295"/>
      <c r="K228" s="9"/>
      <c r="L228" s="68"/>
      <c r="M228" s="5"/>
      <c r="N228" s="40"/>
      <c r="O228" s="5"/>
      <c r="P228" s="5"/>
      <c r="Q228" s="5"/>
    </row>
    <row r="229" spans="1:17" x14ac:dyDescent="0.3">
      <c r="A229" s="5" t="s">
        <v>130</v>
      </c>
      <c r="B229" s="16" t="s">
        <v>338</v>
      </c>
      <c r="C229" s="131"/>
      <c r="D229" s="131"/>
      <c r="E229" s="131"/>
      <c r="F229" s="201"/>
      <c r="G229" s="7"/>
      <c r="H229" s="177">
        <v>2.25</v>
      </c>
      <c r="I229" s="80">
        <v>9526264.1999999993</v>
      </c>
      <c r="J229" s="285">
        <v>3968248.16</v>
      </c>
      <c r="K229" s="318">
        <f t="shared" ref="K229:K230" si="99">+J229/I229</f>
        <v>0.41655869254602457</v>
      </c>
      <c r="L229" s="68"/>
      <c r="M229" s="5"/>
      <c r="N229" s="40"/>
      <c r="O229" s="5"/>
      <c r="P229" s="5"/>
      <c r="Q229" s="5"/>
    </row>
    <row r="230" spans="1:17" x14ac:dyDescent="0.3">
      <c r="A230" s="5" t="s">
        <v>130</v>
      </c>
      <c r="B230" s="16" t="s">
        <v>339</v>
      </c>
      <c r="C230" s="131"/>
      <c r="D230" s="131"/>
      <c r="E230" s="131"/>
      <c r="F230" s="201"/>
      <c r="G230" s="7"/>
      <c r="H230" s="319">
        <v>2.25</v>
      </c>
      <c r="I230" s="320">
        <v>3885462</v>
      </c>
      <c r="J230" s="321">
        <v>814254.11</v>
      </c>
      <c r="K230" s="318">
        <f t="shared" si="99"/>
        <v>0.20956429634365231</v>
      </c>
      <c r="L230" s="96"/>
      <c r="M230" s="5"/>
      <c r="N230" s="40"/>
      <c r="O230" s="5"/>
      <c r="P230" s="5"/>
      <c r="Q230" s="5"/>
    </row>
    <row r="231" spans="1:17" x14ac:dyDescent="0.3">
      <c r="A231" s="5" t="s">
        <v>130</v>
      </c>
      <c r="B231" s="16" t="s">
        <v>238</v>
      </c>
      <c r="C231" s="16"/>
      <c r="D231" s="16"/>
      <c r="E231" s="16"/>
      <c r="F231" s="227"/>
      <c r="G231" s="70"/>
      <c r="H231" s="17">
        <v>4.5</v>
      </c>
      <c r="I231" s="17">
        <v>15442471.700000001</v>
      </c>
      <c r="J231" s="257">
        <v>6535066.0867500007</v>
      </c>
      <c r="K231" s="91">
        <f t="shared" ref="K231:K233" si="100">J231/I231</f>
        <v>0.42318782988282894</v>
      </c>
      <c r="L231" s="68"/>
      <c r="M231" s="5"/>
      <c r="N231" s="40"/>
      <c r="O231" s="5"/>
      <c r="P231" s="5"/>
      <c r="Q231" s="5"/>
    </row>
    <row r="232" spans="1:17" x14ac:dyDescent="0.3">
      <c r="A232" s="5" t="s">
        <v>130</v>
      </c>
      <c r="B232" s="16" t="s">
        <v>340</v>
      </c>
      <c r="C232" s="16"/>
      <c r="D232" s="16"/>
      <c r="E232" s="16"/>
      <c r="F232" s="227"/>
      <c r="G232" s="70"/>
      <c r="H232" s="17">
        <v>2.25</v>
      </c>
      <c r="I232" s="17">
        <v>6611220</v>
      </c>
      <c r="J232" s="257">
        <v>1131147.73</v>
      </c>
      <c r="K232" s="91">
        <f t="shared" si="100"/>
        <v>0.17109515792849125</v>
      </c>
      <c r="L232" s="68"/>
      <c r="M232" s="5"/>
      <c r="N232" s="40"/>
      <c r="O232" s="5"/>
      <c r="P232" s="5"/>
      <c r="Q232" s="5"/>
    </row>
    <row r="233" spans="1:17" s="37" customFormat="1" x14ac:dyDescent="0.3">
      <c r="A233" s="4" t="s">
        <v>241</v>
      </c>
      <c r="B233" s="4"/>
      <c r="C233" s="22">
        <f>SUM(C223:C231)</f>
        <v>14.6</v>
      </c>
      <c r="D233" s="22">
        <f>SUM(D223:D231)</f>
        <v>28189277.5</v>
      </c>
      <c r="E233" s="22">
        <f>SUM(E223:E231)</f>
        <v>12018705.476250002</v>
      </c>
      <c r="F233" s="200">
        <f t="shared" si="96"/>
        <v>0.42635734371872436</v>
      </c>
      <c r="G233" s="48"/>
      <c r="H233" s="182">
        <f>SUM(H223:H232)</f>
        <v>34.75</v>
      </c>
      <c r="I233" s="137">
        <f t="shared" ref="I233:J233" si="101">SUM(I223:I232)</f>
        <v>89042506.010000005</v>
      </c>
      <c r="J233" s="296">
        <f t="shared" si="101"/>
        <v>30066276.71765</v>
      </c>
      <c r="K233" s="91">
        <f t="shared" si="100"/>
        <v>0.33766206798215426</v>
      </c>
      <c r="L233" s="307">
        <f>+H233-C233</f>
        <v>20.149999999999999</v>
      </c>
      <c r="M233" s="98">
        <f>+I233-D233</f>
        <v>60853228.510000005</v>
      </c>
      <c r="N233" s="300">
        <f>+J233-E233</f>
        <v>18047571.241399996</v>
      </c>
      <c r="O233" s="4"/>
      <c r="P233" s="4"/>
      <c r="Q233" s="4"/>
    </row>
    <row r="234" spans="1:17" x14ac:dyDescent="0.3">
      <c r="A234" s="5" t="s">
        <v>137</v>
      </c>
      <c r="B234" s="11" t="s">
        <v>290</v>
      </c>
      <c r="C234" s="132">
        <v>2.25</v>
      </c>
      <c r="D234" s="132">
        <v>3733375</v>
      </c>
      <c r="E234" s="132">
        <v>1566459.0625</v>
      </c>
      <c r="F234" s="198">
        <f t="shared" si="96"/>
        <v>0.41958256604278971</v>
      </c>
      <c r="G234" s="7"/>
      <c r="H234" s="155">
        <v>4.5</v>
      </c>
      <c r="I234" s="28">
        <v>7543216.7999999998</v>
      </c>
      <c r="J234" s="287">
        <v>2124213.4219999998</v>
      </c>
      <c r="K234" s="247">
        <f t="shared" ref="K234:K235" si="102">+J234/I234</f>
        <v>0.28160577619882277</v>
      </c>
      <c r="L234" s="68"/>
      <c r="M234" s="5"/>
      <c r="N234" s="40"/>
      <c r="O234" s="5"/>
      <c r="P234" s="5"/>
      <c r="Q234" s="5"/>
    </row>
    <row r="235" spans="1:17" x14ac:dyDescent="0.3">
      <c r="A235" s="5" t="s">
        <v>137</v>
      </c>
      <c r="B235" s="16" t="s">
        <v>341</v>
      </c>
      <c r="C235" s="16"/>
      <c r="D235" s="16"/>
      <c r="E235" s="16"/>
      <c r="F235" s="216"/>
      <c r="G235" s="7"/>
      <c r="H235" s="17">
        <v>1</v>
      </c>
      <c r="I235" s="17">
        <v>1699968</v>
      </c>
      <c r="J235" s="257">
        <v>935838.71999999997</v>
      </c>
      <c r="K235" s="91">
        <f t="shared" si="102"/>
        <v>0.55050372712898121</v>
      </c>
      <c r="L235" s="68"/>
      <c r="M235" s="5"/>
      <c r="N235" s="40"/>
      <c r="O235" s="5"/>
      <c r="P235" s="5"/>
      <c r="Q235" s="5"/>
    </row>
    <row r="236" spans="1:17" x14ac:dyDescent="0.3">
      <c r="A236" s="5" t="s">
        <v>137</v>
      </c>
      <c r="B236" s="9" t="s">
        <v>342</v>
      </c>
      <c r="C236" s="26">
        <v>0.4</v>
      </c>
      <c r="D236" s="26">
        <v>955350</v>
      </c>
      <c r="E236" s="26">
        <v>444974.62500000006</v>
      </c>
      <c r="F236" s="197">
        <f t="shared" si="96"/>
        <v>0.46577131417805001</v>
      </c>
      <c r="G236" s="7"/>
      <c r="H236" s="154"/>
      <c r="I236" s="27"/>
      <c r="J236" s="260"/>
      <c r="K236" s="9"/>
      <c r="L236" s="68"/>
      <c r="M236" s="5"/>
      <c r="N236" s="40"/>
      <c r="O236" s="5"/>
      <c r="P236" s="5"/>
      <c r="Q236" s="5"/>
    </row>
    <row r="237" spans="1:17" x14ac:dyDescent="0.3">
      <c r="A237" s="5" t="s">
        <v>137</v>
      </c>
      <c r="B237" s="11" t="s">
        <v>330</v>
      </c>
      <c r="C237" s="132">
        <v>4.5</v>
      </c>
      <c r="D237" s="132">
        <v>4949496.875</v>
      </c>
      <c r="E237" s="132">
        <v>2027429.532226464</v>
      </c>
      <c r="F237" s="198">
        <f t="shared" si="96"/>
        <v>0.40962335837952502</v>
      </c>
      <c r="G237" s="7"/>
      <c r="H237" s="155">
        <v>6.75</v>
      </c>
      <c r="I237" s="28">
        <v>7603621.2000000002</v>
      </c>
      <c r="J237" s="287">
        <v>2905960.7529999996</v>
      </c>
      <c r="K237" s="247">
        <f t="shared" ref="K237" si="103">+J237/I237</f>
        <v>0.3821811577094345</v>
      </c>
      <c r="L237" s="68"/>
      <c r="M237" s="5"/>
      <c r="N237" s="40"/>
      <c r="O237" s="5"/>
      <c r="P237" s="5"/>
      <c r="Q237" s="5"/>
    </row>
    <row r="238" spans="1:17" x14ac:dyDescent="0.3">
      <c r="A238" s="5" t="s">
        <v>137</v>
      </c>
      <c r="B238" s="9" t="s">
        <v>272</v>
      </c>
      <c r="C238" s="26">
        <v>2.25</v>
      </c>
      <c r="D238" s="26">
        <v>2778634.375</v>
      </c>
      <c r="E238" s="26">
        <v>921768.14156250004</v>
      </c>
      <c r="F238" s="197">
        <f t="shared" si="96"/>
        <v>0.33173423241857791</v>
      </c>
      <c r="G238" s="7"/>
      <c r="H238" s="154"/>
      <c r="I238" s="27"/>
      <c r="J238" s="260"/>
      <c r="K238" s="9"/>
      <c r="L238" s="68"/>
      <c r="M238" s="5"/>
      <c r="N238" s="40"/>
      <c r="O238" s="5"/>
      <c r="P238" s="5"/>
      <c r="Q238" s="5"/>
    </row>
    <row r="239" spans="1:17" x14ac:dyDescent="0.3">
      <c r="A239" s="5" t="s">
        <v>137</v>
      </c>
      <c r="B239" s="9" t="s">
        <v>294</v>
      </c>
      <c r="C239" s="26">
        <v>2.25</v>
      </c>
      <c r="D239" s="26">
        <v>5255986.2323994115</v>
      </c>
      <c r="E239" s="26">
        <v>1644384.1421704243</v>
      </c>
      <c r="F239" s="197">
        <f t="shared" si="96"/>
        <v>0.31285929404342183</v>
      </c>
      <c r="G239" s="7"/>
      <c r="H239" s="154"/>
      <c r="I239" s="27"/>
      <c r="J239" s="260"/>
      <c r="K239" s="9"/>
      <c r="L239" s="68"/>
      <c r="M239" s="5"/>
      <c r="N239" s="40"/>
      <c r="O239" s="5"/>
      <c r="P239" s="5"/>
      <c r="Q239" s="5"/>
    </row>
    <row r="240" spans="1:17" s="37" customFormat="1" x14ac:dyDescent="0.3">
      <c r="A240" s="4" t="s">
        <v>245</v>
      </c>
      <c r="B240" s="4"/>
      <c r="C240" s="22">
        <f>SUM(C234:C239)</f>
        <v>11.65</v>
      </c>
      <c r="D240" s="22">
        <f>SUM(D234:D239)</f>
        <v>17672842.482399411</v>
      </c>
      <c r="E240" s="22">
        <f>SUM(E234:E239)</f>
        <v>6605015.5034593884</v>
      </c>
      <c r="F240" s="200">
        <f t="shared" si="96"/>
        <v>0.37373815276390315</v>
      </c>
      <c r="G240" s="48"/>
      <c r="H240" s="149">
        <f>SUM(H234:H239)</f>
        <v>12.25</v>
      </c>
      <c r="I240" s="22">
        <f>SUM(I234:I239)</f>
        <v>16846806</v>
      </c>
      <c r="J240" s="293">
        <f>SUM(J234:J239)</f>
        <v>5966012.8949999996</v>
      </c>
      <c r="K240" s="91">
        <f t="shared" ref="K240" si="104">+J240/I240</f>
        <v>0.35413317485818974</v>
      </c>
      <c r="L240" s="307">
        <f>+H240-C240</f>
        <v>0.59999999999999964</v>
      </c>
      <c r="M240" s="98">
        <f>+I240-D240</f>
        <v>-826036.4823994115</v>
      </c>
      <c r="N240" s="300">
        <f>+J240-E240</f>
        <v>-639002.60845938884</v>
      </c>
      <c r="O240" s="4"/>
      <c r="P240" s="4"/>
      <c r="Q240" s="4"/>
    </row>
    <row r="241" spans="1:17" x14ac:dyDescent="0.3">
      <c r="A241" s="5" t="s">
        <v>115</v>
      </c>
      <c r="B241" s="9" t="s">
        <v>246</v>
      </c>
      <c r="C241" s="26">
        <v>2.25</v>
      </c>
      <c r="D241" s="26">
        <v>8731625</v>
      </c>
      <c r="E241" s="26">
        <v>4141120.4375</v>
      </c>
      <c r="F241" s="197">
        <f t="shared" si="96"/>
        <v>0.47426686756474312</v>
      </c>
      <c r="G241" s="7"/>
      <c r="H241" s="142"/>
      <c r="I241" s="9"/>
      <c r="J241" s="253"/>
      <c r="K241" s="9"/>
      <c r="L241" s="68"/>
      <c r="M241" s="5"/>
      <c r="N241" s="40"/>
      <c r="O241" s="5"/>
      <c r="P241" s="5"/>
      <c r="Q241" s="5"/>
    </row>
    <row r="242" spans="1:17" x14ac:dyDescent="0.3">
      <c r="A242" s="5" t="s">
        <v>115</v>
      </c>
      <c r="B242" s="30" t="s">
        <v>343</v>
      </c>
      <c r="C242" s="128"/>
      <c r="D242" s="128"/>
      <c r="E242" s="128"/>
      <c r="F242" s="206"/>
      <c r="G242" s="7"/>
      <c r="H242" s="156">
        <v>1</v>
      </c>
      <c r="I242" s="31">
        <v>3495936</v>
      </c>
      <c r="J242" s="262">
        <v>1169437.44</v>
      </c>
      <c r="K242" s="251">
        <f t="shared" ref="K242:K245" si="105">+J242/I242</f>
        <v>0.33451340070298768</v>
      </c>
      <c r="L242" s="68"/>
      <c r="M242" s="5"/>
      <c r="N242" s="40"/>
      <c r="O242" s="5"/>
      <c r="P242" s="5"/>
      <c r="Q242" s="5"/>
    </row>
    <row r="243" spans="1:17" x14ac:dyDescent="0.3">
      <c r="A243" s="5" t="s">
        <v>115</v>
      </c>
      <c r="B243" s="30" t="s">
        <v>344</v>
      </c>
      <c r="C243" s="128"/>
      <c r="D243" s="128"/>
      <c r="E243" s="128"/>
      <c r="F243" s="206"/>
      <c r="G243" s="7"/>
      <c r="H243" s="128">
        <v>1</v>
      </c>
      <c r="I243" s="31">
        <v>1393955.6400000001</v>
      </c>
      <c r="J243" s="262">
        <v>258839.6381000001</v>
      </c>
      <c r="K243" s="251">
        <f t="shared" si="105"/>
        <v>0.18568714145021148</v>
      </c>
      <c r="L243" s="68"/>
      <c r="M243" s="5"/>
      <c r="N243" s="40"/>
      <c r="O243" s="5"/>
      <c r="P243" s="5"/>
      <c r="Q243" s="5"/>
    </row>
    <row r="244" spans="1:17" x14ac:dyDescent="0.3">
      <c r="A244" s="5" t="s">
        <v>115</v>
      </c>
      <c r="B244" s="77" t="s">
        <v>345</v>
      </c>
      <c r="C244" s="130"/>
      <c r="D244" s="130"/>
      <c r="E244" s="130"/>
      <c r="F244" s="221"/>
      <c r="G244" s="79"/>
      <c r="H244" s="177">
        <v>0.05</v>
      </c>
      <c r="I244" s="129">
        <v>664345.08000000007</v>
      </c>
      <c r="J244" s="290">
        <v>452133.31570000004</v>
      </c>
      <c r="K244" s="251">
        <f t="shared" si="105"/>
        <v>0.68056997682589893</v>
      </c>
      <c r="L244" s="310"/>
      <c r="M244" s="76"/>
      <c r="N244" s="358"/>
      <c r="O244" s="5"/>
      <c r="P244" s="5"/>
      <c r="Q244" s="5"/>
    </row>
    <row r="245" spans="1:17" x14ac:dyDescent="0.3">
      <c r="A245" s="5" t="s">
        <v>115</v>
      </c>
      <c r="B245" s="30" t="s">
        <v>346</v>
      </c>
      <c r="C245" s="128"/>
      <c r="D245" s="128"/>
      <c r="E245" s="128"/>
      <c r="F245" s="206"/>
      <c r="G245" s="7"/>
      <c r="H245" s="156">
        <v>2.25</v>
      </c>
      <c r="I245" s="31">
        <v>20320000</v>
      </c>
      <c r="J245" s="262">
        <v>7838800</v>
      </c>
      <c r="K245" s="251">
        <f t="shared" si="105"/>
        <v>0.38576771653543307</v>
      </c>
      <c r="L245" s="68"/>
      <c r="M245" s="5"/>
      <c r="N245" s="40"/>
      <c r="O245" s="5"/>
      <c r="P245" s="5"/>
      <c r="Q245" s="5"/>
    </row>
    <row r="246" spans="1:17" x14ac:dyDescent="0.3">
      <c r="A246" s="5" t="s">
        <v>115</v>
      </c>
      <c r="B246" s="9" t="s">
        <v>331</v>
      </c>
      <c r="C246" s="26">
        <v>2.25</v>
      </c>
      <c r="D246" s="26">
        <v>5496593.75</v>
      </c>
      <c r="E246" s="26">
        <v>2484992.1906249998</v>
      </c>
      <c r="F246" s="197">
        <f t="shared" si="96"/>
        <v>0.45209675367130775</v>
      </c>
      <c r="G246" s="7"/>
      <c r="H246" s="154"/>
      <c r="I246" s="27"/>
      <c r="J246" s="260"/>
      <c r="K246" s="9"/>
      <c r="L246" s="68"/>
      <c r="M246" s="5"/>
      <c r="N246" s="40"/>
      <c r="O246" s="5"/>
      <c r="P246" s="5"/>
      <c r="Q246" s="5"/>
    </row>
    <row r="247" spans="1:17" x14ac:dyDescent="0.3">
      <c r="A247" s="5" t="s">
        <v>115</v>
      </c>
      <c r="B247" s="9" t="s">
        <v>347</v>
      </c>
      <c r="C247" s="26">
        <v>2.25</v>
      </c>
      <c r="D247" s="26">
        <v>3523500</v>
      </c>
      <c r="E247" s="26">
        <v>963677.25</v>
      </c>
      <c r="F247" s="197">
        <f t="shared" si="96"/>
        <v>0.27350000000000002</v>
      </c>
      <c r="G247" s="7"/>
      <c r="H247" s="154"/>
      <c r="I247" s="27"/>
      <c r="J247" s="260"/>
      <c r="K247" s="9"/>
      <c r="L247" s="68"/>
      <c r="M247" s="5"/>
      <c r="N247" s="40"/>
      <c r="O247" s="5"/>
      <c r="P247" s="5"/>
      <c r="Q247" s="5"/>
    </row>
    <row r="248" spans="1:17" s="37" customFormat="1" x14ac:dyDescent="0.3">
      <c r="A248" s="4" t="s">
        <v>249</v>
      </c>
      <c r="B248" s="4"/>
      <c r="C248" s="22">
        <f>SUM(C241:C247)</f>
        <v>6.75</v>
      </c>
      <c r="D248" s="22">
        <f>SUM(D241:D247)</f>
        <v>17751718.75</v>
      </c>
      <c r="E248" s="22">
        <f>SUM(E241:E247)</f>
        <v>7589789.8781249998</v>
      </c>
      <c r="F248" s="200">
        <f t="shared" si="96"/>
        <v>0.42755239563070474</v>
      </c>
      <c r="G248" s="48"/>
      <c r="H248" s="149">
        <f>SUM(H241:H247)</f>
        <v>4.3</v>
      </c>
      <c r="I248" s="22">
        <f>SUM(I241:I247)</f>
        <v>25874236.719999999</v>
      </c>
      <c r="J248" s="293">
        <f>SUM(J241:J247)</f>
        <v>9719210.3937999997</v>
      </c>
      <c r="K248" s="91">
        <f t="shared" ref="K248:K249" si="106">+J248/I248</f>
        <v>0.37563273842537531</v>
      </c>
      <c r="L248" s="307">
        <f>+H248-C248</f>
        <v>-2.4500000000000002</v>
      </c>
      <c r="M248" s="98">
        <f>+I248-D248</f>
        <v>8122517.9699999988</v>
      </c>
      <c r="N248" s="300">
        <f>+J248-E248</f>
        <v>2129420.5156749999</v>
      </c>
      <c r="O248" s="4"/>
      <c r="P248" s="4"/>
      <c r="Q248" s="4"/>
    </row>
    <row r="249" spans="1:17" s="37" customFormat="1" x14ac:dyDescent="0.3">
      <c r="A249" s="5" t="s">
        <v>127</v>
      </c>
      <c r="B249" s="9" t="s">
        <v>348</v>
      </c>
      <c r="C249" s="20">
        <v>1.25</v>
      </c>
      <c r="D249" s="20">
        <v>3101781.25</v>
      </c>
      <c r="E249" s="20">
        <v>1825572.3218750004</v>
      </c>
      <c r="F249" s="203">
        <f t="shared" si="96"/>
        <v>0.58855611493395943</v>
      </c>
      <c r="G249" s="48"/>
      <c r="H249" s="142">
        <v>3.1</v>
      </c>
      <c r="I249" s="99">
        <v>8009183.7000000002</v>
      </c>
      <c r="J249" s="270">
        <v>3467235.9067500001</v>
      </c>
      <c r="K249" s="312">
        <f t="shared" si="106"/>
        <v>0.4329075267370881</v>
      </c>
      <c r="L249" s="308"/>
      <c r="M249" s="4"/>
      <c r="N249" s="269"/>
      <c r="O249" s="4"/>
      <c r="P249" s="4"/>
      <c r="Q249" s="4"/>
    </row>
    <row r="250" spans="1:17" s="37" customFormat="1" x14ac:dyDescent="0.3">
      <c r="A250" s="5" t="s">
        <v>127</v>
      </c>
      <c r="B250" s="9" t="s">
        <v>280</v>
      </c>
      <c r="C250" s="20">
        <v>2.25</v>
      </c>
      <c r="D250" s="20">
        <v>2317500</v>
      </c>
      <c r="E250" s="20">
        <v>481691.25000000006</v>
      </c>
      <c r="F250" s="203">
        <f t="shared" si="96"/>
        <v>0.20784951456310682</v>
      </c>
      <c r="G250" s="48"/>
      <c r="H250" s="172"/>
      <c r="I250" s="50"/>
      <c r="J250" s="267"/>
      <c r="K250" s="9"/>
      <c r="L250" s="308"/>
      <c r="M250" s="4"/>
      <c r="N250" s="269"/>
      <c r="O250" s="4"/>
      <c r="P250" s="4"/>
      <c r="Q250" s="4"/>
    </row>
    <row r="251" spans="1:17" s="37" customFormat="1" x14ac:dyDescent="0.3">
      <c r="A251" s="5" t="s">
        <v>127</v>
      </c>
      <c r="B251" s="11" t="s">
        <v>252</v>
      </c>
      <c r="C251" s="132">
        <v>2.25</v>
      </c>
      <c r="D251" s="132">
        <v>3455921.875</v>
      </c>
      <c r="E251" s="132">
        <v>1175207.5249999999</v>
      </c>
      <c r="F251" s="198">
        <f t="shared" si="96"/>
        <v>0.34005616084709667</v>
      </c>
      <c r="G251" s="48"/>
      <c r="H251" s="132">
        <v>7</v>
      </c>
      <c r="I251" s="132">
        <v>11754004.5</v>
      </c>
      <c r="J251" s="196">
        <v>2805000</v>
      </c>
      <c r="K251" s="247">
        <f t="shared" ref="K251:K252" si="107">+J251/I251</f>
        <v>0.23864207300584239</v>
      </c>
      <c r="L251" s="308"/>
      <c r="M251" s="4"/>
      <c r="N251" s="269"/>
      <c r="O251" s="4"/>
      <c r="P251" s="4"/>
      <c r="Q251" s="4"/>
    </row>
    <row r="252" spans="1:17" s="37" customFormat="1" x14ac:dyDescent="0.3">
      <c r="A252" s="5" t="s">
        <v>127</v>
      </c>
      <c r="B252" s="11" t="s">
        <v>253</v>
      </c>
      <c r="C252" s="132">
        <v>2.25</v>
      </c>
      <c r="D252" s="132">
        <v>5913325.0136624994</v>
      </c>
      <c r="E252" s="132">
        <v>2377422.0008550938</v>
      </c>
      <c r="F252" s="198">
        <f t="shared" si="96"/>
        <v>0.40204487244691539</v>
      </c>
      <c r="G252" s="48"/>
      <c r="H252" s="132">
        <v>2.25</v>
      </c>
      <c r="I252" s="132">
        <v>6232983</v>
      </c>
      <c r="J252" s="196">
        <v>2368174.3825000003</v>
      </c>
      <c r="K252" s="247">
        <f t="shared" si="107"/>
        <v>0.3799423779111864</v>
      </c>
      <c r="L252" s="308"/>
      <c r="M252" s="4"/>
      <c r="N252" s="269"/>
      <c r="O252" s="4"/>
      <c r="P252" s="4"/>
      <c r="Q252" s="4"/>
    </row>
    <row r="253" spans="1:17" s="37" customFormat="1" x14ac:dyDescent="0.3">
      <c r="A253" s="5" t="s">
        <v>127</v>
      </c>
      <c r="B253" s="9" t="s">
        <v>285</v>
      </c>
      <c r="C253" s="20">
        <v>0.35</v>
      </c>
      <c r="D253" s="20">
        <v>811918.99999999988</v>
      </c>
      <c r="E253" s="20">
        <v>439560.78249999997</v>
      </c>
      <c r="F253" s="203">
        <f t="shared" si="96"/>
        <v>0.54138501808677963</v>
      </c>
      <c r="G253" s="48"/>
      <c r="H253" s="172"/>
      <c r="I253" s="50"/>
      <c r="J253" s="267"/>
      <c r="K253" s="9"/>
      <c r="L253" s="308"/>
      <c r="M253" s="4"/>
      <c r="N253" s="269"/>
      <c r="O253" s="4"/>
      <c r="P253" s="4"/>
      <c r="Q253" s="4"/>
    </row>
    <row r="254" spans="1:17" s="37" customFormat="1" x14ac:dyDescent="0.3">
      <c r="A254" s="5" t="s">
        <v>127</v>
      </c>
      <c r="B254" s="9" t="s">
        <v>305</v>
      </c>
      <c r="C254" s="20">
        <v>2.25</v>
      </c>
      <c r="D254" s="20">
        <v>6234178.125</v>
      </c>
      <c r="E254" s="20">
        <v>2690426.2671875004</v>
      </c>
      <c r="F254" s="203">
        <f t="shared" si="96"/>
        <v>0.43156069865865443</v>
      </c>
      <c r="G254" s="48"/>
      <c r="H254" s="172"/>
      <c r="I254" s="50"/>
      <c r="J254" s="267"/>
      <c r="K254" s="9"/>
      <c r="L254" s="308"/>
      <c r="M254" s="4"/>
      <c r="N254" s="269"/>
      <c r="O254" s="4"/>
      <c r="P254" s="4"/>
      <c r="Q254" s="4"/>
    </row>
    <row r="255" spans="1:17" s="37" customFormat="1" x14ac:dyDescent="0.3">
      <c r="A255" s="5" t="s">
        <v>127</v>
      </c>
      <c r="B255" s="9" t="s">
        <v>306</v>
      </c>
      <c r="C255" s="237">
        <v>2.25</v>
      </c>
      <c r="D255" s="20">
        <v>3035000</v>
      </c>
      <c r="E255" s="20">
        <v>1180953.5</v>
      </c>
      <c r="F255" s="203">
        <f t="shared" si="96"/>
        <v>0.38911153212520594</v>
      </c>
      <c r="G255" s="48"/>
      <c r="H255" s="172"/>
      <c r="I255" s="50"/>
      <c r="J255" s="267"/>
      <c r="K255" s="9"/>
      <c r="L255" s="308"/>
      <c r="M255" s="4"/>
      <c r="N255" s="269"/>
      <c r="O255" s="4"/>
      <c r="P255" s="4"/>
      <c r="Q255" s="4"/>
    </row>
    <row r="256" spans="1:17" s="37" customFormat="1" x14ac:dyDescent="0.3">
      <c r="A256" s="5" t="s">
        <v>127</v>
      </c>
      <c r="B256" s="9" t="s">
        <v>255</v>
      </c>
      <c r="C256" s="20">
        <v>0.5</v>
      </c>
      <c r="D256" s="20">
        <v>949385.49312500004</v>
      </c>
      <c r="E256" s="20">
        <v>525476.31952968752</v>
      </c>
      <c r="F256" s="203">
        <f t="shared" si="96"/>
        <v>0.55349099321080641</v>
      </c>
      <c r="G256" s="48"/>
      <c r="H256" s="172"/>
      <c r="I256" s="50"/>
      <c r="J256" s="267"/>
      <c r="K256" s="9"/>
      <c r="L256" s="308"/>
      <c r="M256" s="4"/>
      <c r="N256" s="269"/>
      <c r="O256" s="4"/>
      <c r="P256" s="4"/>
      <c r="Q256" s="4"/>
    </row>
    <row r="257" spans="1:17" s="37" customFormat="1" x14ac:dyDescent="0.3">
      <c r="A257" s="5" t="s">
        <v>127</v>
      </c>
      <c r="B257" s="9" t="s">
        <v>256</v>
      </c>
      <c r="C257" s="20">
        <v>2.25</v>
      </c>
      <c r="D257" s="20">
        <v>6111062.5</v>
      </c>
      <c r="E257" s="20">
        <v>2709102.4937499999</v>
      </c>
      <c r="F257" s="203">
        <f t="shared" si="96"/>
        <v>0.4433112071346022</v>
      </c>
      <c r="G257" s="48"/>
      <c r="H257" s="172"/>
      <c r="I257" s="50"/>
      <c r="J257" s="267"/>
      <c r="K257" s="311"/>
      <c r="L257" s="308"/>
      <c r="M257" s="4"/>
      <c r="N257" s="269"/>
      <c r="O257" s="4"/>
      <c r="P257" s="4"/>
      <c r="Q257" s="4"/>
    </row>
    <row r="258" spans="1:17" s="37" customFormat="1" x14ac:dyDescent="0.3">
      <c r="A258" s="5" t="s">
        <v>127</v>
      </c>
      <c r="B258" s="30" t="s">
        <v>322</v>
      </c>
      <c r="C258" s="30"/>
      <c r="D258" s="30"/>
      <c r="E258" s="30"/>
      <c r="F258" s="205"/>
      <c r="G258" s="48"/>
      <c r="H258" s="177">
        <v>0.5</v>
      </c>
      <c r="I258" s="177">
        <v>579309.30000000005</v>
      </c>
      <c r="J258" s="297">
        <v>357079.14075000002</v>
      </c>
      <c r="K258" s="251">
        <f t="shared" ref="K258:K259" si="108">+J258/I258</f>
        <v>0.61638772370821593</v>
      </c>
      <c r="L258" s="308"/>
      <c r="M258" s="4"/>
      <c r="N258" s="269"/>
      <c r="O258" s="4"/>
      <c r="P258" s="4"/>
      <c r="Q258" s="4"/>
    </row>
    <row r="259" spans="1:17" s="37" customFormat="1" x14ac:dyDescent="0.3">
      <c r="A259" s="4" t="s">
        <v>259</v>
      </c>
      <c r="B259" s="4"/>
      <c r="C259" s="145">
        <f>SUM(C249:C257)</f>
        <v>15.6</v>
      </c>
      <c r="D259" s="145">
        <f t="shared" ref="D259:E259" si="109">SUM(D249:D257)</f>
        <v>31930073.256787498</v>
      </c>
      <c r="E259" s="145">
        <f t="shared" si="109"/>
        <v>13405412.460697282</v>
      </c>
      <c r="F259" s="228">
        <f t="shared" si="96"/>
        <v>0.41983657077415698</v>
      </c>
      <c r="G259" s="48"/>
      <c r="H259" s="145">
        <f>SUM(H249:H257)</f>
        <v>12.35</v>
      </c>
      <c r="I259" s="145">
        <f t="shared" ref="I259" si="110">SUM(I249:I257)</f>
        <v>25996171.199999999</v>
      </c>
      <c r="J259" s="298">
        <f>SUM(J249:J257)</f>
        <v>8640410.2892500013</v>
      </c>
      <c r="K259" s="91">
        <f t="shared" si="108"/>
        <v>0.33237241833712811</v>
      </c>
      <c r="L259" s="307">
        <f>+H259-C259</f>
        <v>-3.25</v>
      </c>
      <c r="M259" s="98">
        <f>+I259-D259</f>
        <v>-5933902.0567874983</v>
      </c>
      <c r="N259" s="300">
        <f>+J259-E259</f>
        <v>-4765002.1714472808</v>
      </c>
      <c r="O259" s="4"/>
      <c r="P259" s="4"/>
      <c r="Q259" s="4"/>
    </row>
    <row r="260" spans="1:17" s="37" customFormat="1" x14ac:dyDescent="0.3">
      <c r="A260" s="4"/>
      <c r="B260" s="4"/>
      <c r="C260" s="13"/>
      <c r="D260" s="13"/>
      <c r="E260" s="13"/>
      <c r="F260" s="200"/>
      <c r="G260" s="48"/>
      <c r="H260" s="163"/>
      <c r="I260" s="4"/>
      <c r="J260" s="269"/>
      <c r="K260" s="93"/>
      <c r="L260" s="308"/>
      <c r="M260" s="4"/>
      <c r="N260" s="269"/>
      <c r="O260" s="4"/>
      <c r="P260" s="4"/>
      <c r="Q260" s="4"/>
    </row>
    <row r="261" spans="1:17" s="37" customFormat="1" x14ac:dyDescent="0.3">
      <c r="A261" s="4" t="s">
        <v>260</v>
      </c>
      <c r="B261" s="4"/>
      <c r="C261" s="193">
        <f t="shared" ref="C261:E261" si="111">C259</f>
        <v>15.6</v>
      </c>
      <c r="D261" s="163">
        <f t="shared" si="111"/>
        <v>31930073.256787498</v>
      </c>
      <c r="E261" s="163">
        <f t="shared" si="111"/>
        <v>13405412.460697282</v>
      </c>
      <c r="F261" s="229">
        <f t="shared" si="96"/>
        <v>0.41983657077415698</v>
      </c>
      <c r="G261" s="48"/>
      <c r="H261" s="163">
        <f>H259</f>
        <v>12.35</v>
      </c>
      <c r="I261" s="95">
        <f>I259</f>
        <v>25996171.199999999</v>
      </c>
      <c r="J261" s="299">
        <f>J259</f>
        <v>8640410.2892500013</v>
      </c>
      <c r="K261" s="91">
        <f t="shared" ref="K261:K263" si="112">+J261/I261</f>
        <v>0.33237241833712811</v>
      </c>
      <c r="L261" s="307">
        <f t="shared" ref="L261:L263" si="113">+H261-C261</f>
        <v>-3.25</v>
      </c>
      <c r="M261" s="98">
        <f t="shared" ref="M261:M263" si="114">+I261-D261</f>
        <v>-5933902.0567874983</v>
      </c>
      <c r="N261" s="300">
        <f t="shared" ref="N261:N263" si="115">+J261-E261</f>
        <v>-4765002.1714472808</v>
      </c>
      <c r="O261" s="4"/>
      <c r="P261" s="4"/>
      <c r="Q261" s="4"/>
    </row>
    <row r="262" spans="1:17" s="37" customFormat="1" x14ac:dyDescent="0.3">
      <c r="A262" s="4" t="s">
        <v>261</v>
      </c>
      <c r="B262" s="4"/>
      <c r="C262" s="193">
        <f t="shared" ref="C262:E262" si="116">+C248+C240+C233</f>
        <v>33</v>
      </c>
      <c r="D262" s="183">
        <f t="shared" si="116"/>
        <v>63613838.732399411</v>
      </c>
      <c r="E262" s="183">
        <f t="shared" si="116"/>
        <v>26213510.857834391</v>
      </c>
      <c r="F262" s="229">
        <f t="shared" si="96"/>
        <v>0.41207245750575161</v>
      </c>
      <c r="G262" s="48"/>
      <c r="H262" s="183">
        <f>+H248+H240+H233</f>
        <v>51.3</v>
      </c>
      <c r="I262" s="98">
        <f>+I248+I240+I233</f>
        <v>131763548.73</v>
      </c>
      <c r="J262" s="300">
        <f>+J248+J240+J233</f>
        <v>45751500.006449997</v>
      </c>
      <c r="K262" s="91">
        <f t="shared" si="112"/>
        <v>0.34722425471554763</v>
      </c>
      <c r="L262" s="307">
        <f t="shared" si="113"/>
        <v>18.299999999999997</v>
      </c>
      <c r="M262" s="98">
        <f t="shared" si="114"/>
        <v>68149709.997600585</v>
      </c>
      <c r="N262" s="300">
        <f t="shared" si="115"/>
        <v>19537989.148615606</v>
      </c>
      <c r="O262" s="4"/>
      <c r="P262" s="4"/>
      <c r="Q262" s="4"/>
    </row>
    <row r="263" spans="1:17" s="37" customFormat="1" x14ac:dyDescent="0.3">
      <c r="A263" s="4" t="s">
        <v>262</v>
      </c>
      <c r="B263" s="4"/>
      <c r="C263" s="194">
        <f>+C261+C262</f>
        <v>48.6</v>
      </c>
      <c r="D263" s="13">
        <f t="shared" ref="D263:E263" si="117">+D261+D262</f>
        <v>95543911.989186913</v>
      </c>
      <c r="E263" s="13">
        <f t="shared" si="117"/>
        <v>39618923.318531677</v>
      </c>
      <c r="F263" s="200">
        <f t="shared" si="96"/>
        <v>0.41466716710338919</v>
      </c>
      <c r="G263" s="48"/>
      <c r="H263" s="183">
        <f>H261+H262</f>
        <v>63.65</v>
      </c>
      <c r="I263" s="95">
        <f t="shared" ref="I263:J263" si="118">I261+I262</f>
        <v>157759719.93000001</v>
      </c>
      <c r="J263" s="299">
        <f t="shared" si="118"/>
        <v>54391910.295699999</v>
      </c>
      <c r="K263" s="91">
        <f t="shared" si="112"/>
        <v>0.34477691973486246</v>
      </c>
      <c r="L263" s="307">
        <f t="shared" si="113"/>
        <v>15.049999999999997</v>
      </c>
      <c r="M263" s="98">
        <f t="shared" si="114"/>
        <v>62215807.940813094</v>
      </c>
      <c r="N263" s="300">
        <f t="shared" si="115"/>
        <v>14772986.977168322</v>
      </c>
      <c r="O263" s="4"/>
      <c r="P263" s="4"/>
      <c r="Q263" s="4"/>
    </row>
    <row r="264" spans="1:17" x14ac:dyDescent="0.3">
      <c r="A264" s="3"/>
      <c r="B264" s="3"/>
      <c r="C264" s="23"/>
      <c r="D264" s="23"/>
      <c r="E264" s="23"/>
      <c r="F264" s="204"/>
      <c r="G264" s="362"/>
      <c r="H264" s="151"/>
      <c r="I264" s="3"/>
      <c r="J264" s="3"/>
      <c r="K264" s="3"/>
      <c r="L264" s="3"/>
      <c r="M264" s="3"/>
      <c r="N264" s="3"/>
      <c r="O264" s="5"/>
      <c r="P264" s="5"/>
      <c r="Q264" s="5"/>
    </row>
    <row r="265" spans="1:17" x14ac:dyDescent="0.3">
      <c r="A265" s="3"/>
      <c r="B265" s="3"/>
      <c r="C265" s="23"/>
      <c r="D265" s="23"/>
      <c r="E265" s="23"/>
      <c r="F265" s="204"/>
      <c r="G265" s="362"/>
      <c r="H265" s="151"/>
      <c r="I265" s="3"/>
      <c r="J265" s="3"/>
      <c r="K265" s="3"/>
      <c r="L265" s="3"/>
      <c r="M265" s="3"/>
      <c r="N265" s="3"/>
      <c r="O265" s="5"/>
      <c r="P265" s="5"/>
      <c r="Q265" s="5"/>
    </row>
    <row r="266" spans="1:17" x14ac:dyDescent="0.3">
      <c r="A266" s="4" t="s">
        <v>226</v>
      </c>
      <c r="B266" s="4" t="s">
        <v>349</v>
      </c>
      <c r="C266" s="338" t="s">
        <v>228</v>
      </c>
      <c r="D266" s="338"/>
      <c r="E266" s="338"/>
      <c r="F266" s="338"/>
      <c r="G266" s="338"/>
      <c r="H266" s="336" t="s">
        <v>229</v>
      </c>
      <c r="I266" s="336"/>
      <c r="J266" s="336"/>
      <c r="K266" s="91"/>
      <c r="L266" s="336" t="s">
        <v>394</v>
      </c>
      <c r="M266" s="336"/>
      <c r="N266" s="339"/>
      <c r="O266" s="5"/>
      <c r="P266" s="5"/>
      <c r="Q266" s="5"/>
    </row>
    <row r="267" spans="1:17" x14ac:dyDescent="0.3">
      <c r="A267" s="5"/>
      <c r="B267" s="5"/>
      <c r="C267" s="6"/>
      <c r="D267" s="6"/>
      <c r="E267" s="6"/>
      <c r="F267" s="199"/>
      <c r="G267" s="7"/>
      <c r="H267" s="66"/>
      <c r="I267" s="5"/>
      <c r="J267" s="40"/>
      <c r="K267" s="190"/>
      <c r="L267" s="5"/>
      <c r="M267" s="5"/>
      <c r="N267" s="40"/>
      <c r="O267" s="5"/>
      <c r="P267" s="5"/>
      <c r="Q267" s="5"/>
    </row>
    <row r="268" spans="1:17" x14ac:dyDescent="0.3">
      <c r="A268" s="5" t="s">
        <v>230</v>
      </c>
      <c r="B268" s="5" t="s">
        <v>231</v>
      </c>
      <c r="C268" s="6" t="s">
        <v>232</v>
      </c>
      <c r="D268" s="6" t="s">
        <v>233</v>
      </c>
      <c r="E268" s="6" t="s">
        <v>234</v>
      </c>
      <c r="F268" s="231" t="s">
        <v>396</v>
      </c>
      <c r="G268" s="8"/>
      <c r="H268" s="141" t="s">
        <v>232</v>
      </c>
      <c r="I268" s="6" t="s">
        <v>233</v>
      </c>
      <c r="J268" s="252" t="s">
        <v>234</v>
      </c>
      <c r="K268" s="332" t="s">
        <v>396</v>
      </c>
      <c r="L268" s="6" t="s">
        <v>232</v>
      </c>
      <c r="M268" s="6" t="s">
        <v>233</v>
      </c>
      <c r="N268" s="252" t="s">
        <v>234</v>
      </c>
      <c r="O268" s="5"/>
      <c r="P268" s="5"/>
      <c r="Q268" s="5"/>
    </row>
    <row r="269" spans="1:17" x14ac:dyDescent="0.3">
      <c r="A269" s="5" t="s">
        <v>130</v>
      </c>
      <c r="B269" s="9" t="s">
        <v>325</v>
      </c>
      <c r="C269" s="26">
        <v>0.4</v>
      </c>
      <c r="D269" s="26">
        <v>526001.25</v>
      </c>
      <c r="E269" s="26">
        <v>196820.22187500005</v>
      </c>
      <c r="F269" s="197">
        <f t="shared" ref="F269:F303" si="119">+E269/D269</f>
        <v>0.37418204210541334</v>
      </c>
      <c r="G269" s="7"/>
      <c r="H269" s="154"/>
      <c r="I269" s="27"/>
      <c r="J269" s="260"/>
      <c r="K269" s="253"/>
      <c r="L269" s="5"/>
      <c r="M269" s="5"/>
      <c r="N269" s="40"/>
      <c r="O269" s="5"/>
      <c r="P269" s="5"/>
      <c r="Q269" s="5"/>
    </row>
    <row r="270" spans="1:17" x14ac:dyDescent="0.3">
      <c r="A270" s="5" t="s">
        <v>130</v>
      </c>
      <c r="B270" s="9" t="s">
        <v>264</v>
      </c>
      <c r="C270" s="26">
        <v>2.25</v>
      </c>
      <c r="D270" s="26">
        <v>5268821.3600000003</v>
      </c>
      <c r="E270" s="26">
        <v>1894340.8794000004</v>
      </c>
      <c r="F270" s="197">
        <f t="shared" si="119"/>
        <v>0.35953788332652831</v>
      </c>
      <c r="G270" s="7"/>
      <c r="H270" s="154"/>
      <c r="I270" s="27"/>
      <c r="J270" s="260"/>
      <c r="K270" s="253"/>
      <c r="L270" s="94"/>
      <c r="M270" s="5"/>
      <c r="N270" s="40"/>
      <c r="O270" s="5"/>
      <c r="P270" s="5"/>
      <c r="Q270" s="5"/>
    </row>
    <row r="271" spans="1:17" x14ac:dyDescent="0.3">
      <c r="A271" s="5" t="s">
        <v>130</v>
      </c>
      <c r="B271" s="11" t="s">
        <v>237</v>
      </c>
      <c r="C271" s="132">
        <v>4.5</v>
      </c>
      <c r="D271" s="132">
        <v>9082961.2799999993</v>
      </c>
      <c r="E271" s="132">
        <v>2457465.6912000002</v>
      </c>
      <c r="F271" s="198">
        <f t="shared" si="119"/>
        <v>0.27055776364599898</v>
      </c>
      <c r="G271" s="7"/>
      <c r="H271" s="155">
        <v>12.25</v>
      </c>
      <c r="I271" s="28">
        <v>33346766.030000001</v>
      </c>
      <c r="J271" s="287">
        <v>11719886.029999999</v>
      </c>
      <c r="K271" s="248">
        <f t="shared" ref="K271:K276" si="120">J271/I271</f>
        <v>0.35145495126742876</v>
      </c>
      <c r="L271" s="98"/>
      <c r="M271" s="98"/>
      <c r="N271" s="300"/>
      <c r="O271" s="5"/>
      <c r="P271" s="5"/>
      <c r="Q271" s="5"/>
    </row>
    <row r="272" spans="1:17" x14ac:dyDescent="0.3">
      <c r="A272" s="5" t="s">
        <v>130</v>
      </c>
      <c r="B272" s="9" t="s">
        <v>350</v>
      </c>
      <c r="C272" s="26">
        <v>2.25</v>
      </c>
      <c r="D272" s="26">
        <v>5794343.9115000004</v>
      </c>
      <c r="E272" s="26">
        <v>2959275.66349125</v>
      </c>
      <c r="F272" s="197">
        <f t="shared" si="119"/>
        <v>0.51071798786709799</v>
      </c>
      <c r="G272" s="7"/>
      <c r="H272" s="154"/>
      <c r="I272" s="27"/>
      <c r="J272" s="260"/>
      <c r="K272" s="253"/>
      <c r="L272" s="5"/>
      <c r="M272" s="5"/>
      <c r="N272" s="40"/>
      <c r="O272" s="5"/>
      <c r="P272" s="5"/>
      <c r="Q272" s="5"/>
    </row>
    <row r="273" spans="1:17" x14ac:dyDescent="0.3">
      <c r="A273" s="5" t="s">
        <v>130</v>
      </c>
      <c r="B273" s="9" t="s">
        <v>267</v>
      </c>
      <c r="C273" s="26">
        <v>1</v>
      </c>
      <c r="D273" s="26">
        <v>1820620</v>
      </c>
      <c r="E273" s="26">
        <v>894410.75000000012</v>
      </c>
      <c r="F273" s="197">
        <f t="shared" si="119"/>
        <v>0.4912671232876713</v>
      </c>
      <c r="G273" s="7"/>
      <c r="H273" s="154"/>
      <c r="I273" s="27"/>
      <c r="J273" s="260"/>
      <c r="K273" s="253"/>
      <c r="L273" s="5"/>
      <c r="M273" s="5"/>
      <c r="N273" s="40"/>
      <c r="O273" s="5"/>
      <c r="P273" s="5"/>
      <c r="Q273" s="5"/>
    </row>
    <row r="274" spans="1:17" x14ac:dyDescent="0.3">
      <c r="A274" s="5" t="s">
        <v>130</v>
      </c>
      <c r="B274" s="11" t="s">
        <v>238</v>
      </c>
      <c r="C274" s="132">
        <v>2.2000000000000002</v>
      </c>
      <c r="D274" s="132">
        <v>3478740.9598091571</v>
      </c>
      <c r="E274" s="132">
        <v>1638655.3382134517</v>
      </c>
      <c r="F274" s="198">
        <f t="shared" si="119"/>
        <v>0.47104839283674282</v>
      </c>
      <c r="G274" s="7"/>
      <c r="H274" s="155">
        <v>2</v>
      </c>
      <c r="I274" s="233">
        <v>4322985.45</v>
      </c>
      <c r="J274" s="301">
        <v>1696143.58</v>
      </c>
      <c r="K274" s="248">
        <f t="shared" si="120"/>
        <v>0.39235468164714732</v>
      </c>
      <c r="L274" s="98"/>
      <c r="M274" s="98"/>
      <c r="N274" s="300"/>
      <c r="O274" s="5"/>
      <c r="P274" s="5"/>
      <c r="Q274" s="5"/>
    </row>
    <row r="275" spans="1:17" x14ac:dyDescent="0.3">
      <c r="A275" s="5" t="s">
        <v>130</v>
      </c>
      <c r="B275" s="9" t="s">
        <v>239</v>
      </c>
      <c r="C275" s="26">
        <v>1</v>
      </c>
      <c r="D275" s="26">
        <v>3986601.6855000001</v>
      </c>
      <c r="E275" s="26">
        <v>1855142.04757625</v>
      </c>
      <c r="F275" s="197">
        <f t="shared" si="119"/>
        <v>0.46534421894310163</v>
      </c>
      <c r="G275" s="7"/>
      <c r="H275" s="154"/>
      <c r="I275" s="27"/>
      <c r="J275" s="260"/>
      <c r="K275" s="253"/>
      <c r="L275" s="5"/>
      <c r="M275" s="5"/>
      <c r="N275" s="40"/>
      <c r="O275" s="5"/>
      <c r="P275" s="5"/>
      <c r="Q275" s="5"/>
    </row>
    <row r="276" spans="1:17" s="37" customFormat="1" x14ac:dyDescent="0.3">
      <c r="A276" s="4" t="s">
        <v>241</v>
      </c>
      <c r="B276" s="4"/>
      <c r="C276" s="22">
        <f>SUM(C269:C275)</f>
        <v>13.600000000000001</v>
      </c>
      <c r="D276" s="22">
        <f t="shared" ref="D276:E276" si="121">SUM(D269:D275)</f>
        <v>29958090.446809158</v>
      </c>
      <c r="E276" s="22">
        <f t="shared" si="121"/>
        <v>11896110.591755953</v>
      </c>
      <c r="F276" s="200">
        <f t="shared" si="119"/>
        <v>0.39709175098718652</v>
      </c>
      <c r="G276" s="48"/>
      <c r="H276" s="184">
        <f>SUM(H269:H275)</f>
        <v>14.25</v>
      </c>
      <c r="I276" s="95">
        <f>SUM(I269:I275)</f>
        <v>37669751.480000004</v>
      </c>
      <c r="J276" s="299">
        <f>SUM(J269:J275)</f>
        <v>13416029.609999999</v>
      </c>
      <c r="K276" s="190">
        <f t="shared" si="120"/>
        <v>0.35614860950497562</v>
      </c>
      <c r="L276" s="98">
        <f t="shared" ref="L276" si="122">+H276-C276</f>
        <v>0.64999999999999858</v>
      </c>
      <c r="M276" s="98">
        <f t="shared" ref="M276" si="123">+I276-D276</f>
        <v>7711661.0331908464</v>
      </c>
      <c r="N276" s="300">
        <f t="shared" ref="N276" si="124">+J276-E276</f>
        <v>1519919.0182440467</v>
      </c>
      <c r="O276" s="4"/>
      <c r="P276" s="4"/>
      <c r="Q276" s="4"/>
    </row>
    <row r="277" spans="1:17" s="37" customFormat="1" x14ac:dyDescent="0.3">
      <c r="A277" s="4"/>
      <c r="B277" s="4"/>
      <c r="C277" s="13"/>
      <c r="D277" s="13"/>
      <c r="E277" s="13"/>
      <c r="F277" s="200"/>
      <c r="G277" s="48"/>
      <c r="H277" s="184"/>
      <c r="I277" s="95"/>
      <c r="J277" s="299"/>
      <c r="K277" s="190"/>
      <c r="L277" s="4"/>
      <c r="M277" s="4"/>
      <c r="N277" s="269"/>
      <c r="O277" s="4"/>
      <c r="P277" s="4"/>
      <c r="Q277" s="4"/>
    </row>
    <row r="278" spans="1:17" x14ac:dyDescent="0.3">
      <c r="A278" s="5" t="s">
        <v>137</v>
      </c>
      <c r="B278" s="9" t="s">
        <v>291</v>
      </c>
      <c r="C278" s="10">
        <v>4.5</v>
      </c>
      <c r="D278" s="10">
        <v>8441918.3659248389</v>
      </c>
      <c r="E278" s="10">
        <v>4146596.2026915289</v>
      </c>
      <c r="F278" s="197">
        <f t="shared" si="119"/>
        <v>0.49119122253408054</v>
      </c>
      <c r="G278" s="7"/>
      <c r="H278" s="142"/>
      <c r="I278" s="9"/>
      <c r="J278" s="253"/>
      <c r="K278" s="243"/>
      <c r="L278" s="5"/>
      <c r="M278" s="5"/>
      <c r="N278" s="40"/>
      <c r="O278" s="5"/>
      <c r="P278" s="5"/>
      <c r="Q278" s="5"/>
    </row>
    <row r="279" spans="1:17" x14ac:dyDescent="0.3">
      <c r="A279" s="5" t="s">
        <v>137</v>
      </c>
      <c r="B279" s="11" t="s">
        <v>330</v>
      </c>
      <c r="C279" s="12">
        <v>4.45</v>
      </c>
      <c r="D279" s="12">
        <v>4957370.9541857876</v>
      </c>
      <c r="E279" s="12">
        <v>1910872.6969621074</v>
      </c>
      <c r="F279" s="198">
        <f t="shared" si="119"/>
        <v>0.38546090551255802</v>
      </c>
      <c r="G279" s="7"/>
      <c r="H279" s="162">
        <v>6.75</v>
      </c>
      <c r="I279" s="47">
        <v>7200000</v>
      </c>
      <c r="J279" s="266">
        <v>2600000</v>
      </c>
      <c r="K279" s="333">
        <f>+J279/I279</f>
        <v>0.3611111111111111</v>
      </c>
      <c r="L279" s="5"/>
      <c r="M279" s="5"/>
      <c r="N279" s="40"/>
      <c r="O279" s="5"/>
      <c r="P279" s="5"/>
      <c r="Q279" s="5"/>
    </row>
    <row r="280" spans="1:17" x14ac:dyDescent="0.3">
      <c r="A280" s="5" t="s">
        <v>137</v>
      </c>
      <c r="B280" s="30" t="s">
        <v>244</v>
      </c>
      <c r="C280" s="33"/>
      <c r="D280" s="33"/>
      <c r="E280" s="33"/>
      <c r="F280" s="33"/>
      <c r="G280" s="7"/>
      <c r="H280" s="234">
        <v>2.25</v>
      </c>
      <c r="I280" s="32">
        <v>4000000</v>
      </c>
      <c r="J280" s="280">
        <v>1000000</v>
      </c>
      <c r="K280" s="334">
        <f>+J280/I280</f>
        <v>0.25</v>
      </c>
      <c r="L280" s="5"/>
      <c r="M280" s="5"/>
      <c r="N280" s="40"/>
      <c r="O280" s="5"/>
      <c r="P280" s="5"/>
      <c r="Q280" s="5"/>
    </row>
    <row r="281" spans="1:17" x14ac:dyDescent="0.3">
      <c r="A281" s="5" t="s">
        <v>137</v>
      </c>
      <c r="B281" s="9" t="s">
        <v>293</v>
      </c>
      <c r="C281" s="10">
        <v>1</v>
      </c>
      <c r="D281" s="10">
        <v>4792665.5</v>
      </c>
      <c r="E281" s="10">
        <v>2761859.5262500001</v>
      </c>
      <c r="F281" s="197">
        <f t="shared" si="119"/>
        <v>0.57626795073639092</v>
      </c>
      <c r="G281" s="7"/>
      <c r="H281" s="142"/>
      <c r="I281" s="9"/>
      <c r="J281" s="253"/>
      <c r="K281" s="253"/>
      <c r="L281" s="5"/>
      <c r="M281" s="5"/>
      <c r="N281" s="40"/>
      <c r="O281" s="5"/>
      <c r="P281" s="5"/>
      <c r="Q281" s="5"/>
    </row>
    <row r="282" spans="1:17" x14ac:dyDescent="0.3">
      <c r="A282" s="5" t="s">
        <v>137</v>
      </c>
      <c r="B282" s="9" t="s">
        <v>351</v>
      </c>
      <c r="C282" s="10">
        <v>0.1</v>
      </c>
      <c r="D282" s="10">
        <v>301542.59999999998</v>
      </c>
      <c r="E282" s="10">
        <v>154089.69149999999</v>
      </c>
      <c r="F282" s="197">
        <f t="shared" si="119"/>
        <v>0.51100471873625819</v>
      </c>
      <c r="G282" s="7"/>
      <c r="H282" s="142"/>
      <c r="I282" s="9"/>
      <c r="J282" s="253"/>
      <c r="K282" s="253"/>
      <c r="L282" s="5"/>
      <c r="M282" s="5"/>
      <c r="N282" s="40"/>
      <c r="O282" s="5"/>
      <c r="P282" s="5"/>
      <c r="Q282" s="5"/>
    </row>
    <row r="283" spans="1:17" x14ac:dyDescent="0.3">
      <c r="A283" s="5" t="s">
        <v>137</v>
      </c>
      <c r="B283" s="9" t="s">
        <v>352</v>
      </c>
      <c r="C283" s="10">
        <v>0.1</v>
      </c>
      <c r="D283" s="10">
        <v>415140</v>
      </c>
      <c r="E283" s="10">
        <v>223519.35</v>
      </c>
      <c r="F283" s="197">
        <f t="shared" si="119"/>
        <v>0.53841920797803156</v>
      </c>
      <c r="G283" s="7"/>
      <c r="H283" s="142"/>
      <c r="I283" s="9"/>
      <c r="J283" s="253"/>
      <c r="K283" s="253"/>
      <c r="L283" s="5"/>
      <c r="M283" s="5"/>
      <c r="N283" s="40"/>
      <c r="O283" s="5"/>
      <c r="P283" s="5"/>
      <c r="Q283" s="5"/>
    </row>
    <row r="284" spans="1:17" x14ac:dyDescent="0.3">
      <c r="A284" s="5" t="s">
        <v>137</v>
      </c>
      <c r="B284" s="9" t="s">
        <v>353</v>
      </c>
      <c r="C284" s="10">
        <v>0.1</v>
      </c>
      <c r="D284" s="10">
        <v>245310</v>
      </c>
      <c r="E284" s="10">
        <v>129310.52499999998</v>
      </c>
      <c r="F284" s="197">
        <f t="shared" si="119"/>
        <v>0.52713107904284362</v>
      </c>
      <c r="G284" s="7"/>
      <c r="H284" s="142"/>
      <c r="I284" s="9"/>
      <c r="J284" s="253"/>
      <c r="K284" s="253"/>
      <c r="L284" s="5"/>
      <c r="M284" s="5"/>
      <c r="N284" s="40"/>
      <c r="O284" s="5"/>
      <c r="P284" s="5"/>
      <c r="Q284" s="5"/>
    </row>
    <row r="285" spans="1:17" x14ac:dyDescent="0.3">
      <c r="A285" s="5" t="s">
        <v>137</v>
      </c>
      <c r="B285" s="30" t="s">
        <v>354</v>
      </c>
      <c r="C285" s="33"/>
      <c r="D285" s="33"/>
      <c r="E285" s="33"/>
      <c r="F285" s="33"/>
      <c r="G285" s="7"/>
      <c r="H285" s="235">
        <v>0.9</v>
      </c>
      <c r="I285" s="236">
        <v>1618634</v>
      </c>
      <c r="J285" s="302">
        <v>288702</v>
      </c>
      <c r="K285" s="334">
        <f>+J285/I285</f>
        <v>0.17836150729565795</v>
      </c>
      <c r="L285" s="5"/>
      <c r="M285" s="5"/>
      <c r="N285" s="40"/>
      <c r="O285" s="5"/>
      <c r="P285" s="5"/>
      <c r="Q285" s="5"/>
    </row>
    <row r="286" spans="1:17" x14ac:dyDescent="0.3">
      <c r="A286" s="5" t="s">
        <v>137</v>
      </c>
      <c r="B286" s="30" t="s">
        <v>355</v>
      </c>
      <c r="C286" s="33"/>
      <c r="D286" s="33"/>
      <c r="E286" s="33"/>
      <c r="F286" s="33"/>
      <c r="G286" s="7"/>
      <c r="H286" s="235">
        <v>1.1200000000000001</v>
      </c>
      <c r="I286" s="236">
        <v>1815827.73</v>
      </c>
      <c r="J286" s="302">
        <v>576960.17857500003</v>
      </c>
      <c r="K286" s="334">
        <f>+J286/I286</f>
        <v>0.31773949094554255</v>
      </c>
      <c r="L286" s="5"/>
      <c r="M286" s="5"/>
      <c r="N286" s="40"/>
      <c r="O286" s="5"/>
      <c r="P286" s="5"/>
      <c r="Q286" s="5"/>
    </row>
    <row r="287" spans="1:17" x14ac:dyDescent="0.3">
      <c r="A287" s="5" t="s">
        <v>137</v>
      </c>
      <c r="B287" s="9" t="s">
        <v>242</v>
      </c>
      <c r="C287" s="10">
        <v>9</v>
      </c>
      <c r="D287" s="10">
        <v>15324600.614999998</v>
      </c>
      <c r="E287" s="10">
        <v>5969330.7011625003</v>
      </c>
      <c r="F287" s="197">
        <f t="shared" si="119"/>
        <v>0.38952602101222855</v>
      </c>
      <c r="G287" s="7"/>
      <c r="H287" s="154">
        <v>2.25</v>
      </c>
      <c r="I287" s="27">
        <v>3929051</v>
      </c>
      <c r="J287" s="260">
        <v>1595644</v>
      </c>
      <c r="K287" s="243">
        <f>J287/I287</f>
        <v>0.40611435178622013</v>
      </c>
      <c r="L287" s="5"/>
      <c r="M287" s="5"/>
      <c r="N287" s="40"/>
      <c r="O287" s="5"/>
      <c r="P287" s="5"/>
      <c r="Q287" s="5"/>
    </row>
    <row r="288" spans="1:17" s="37" customFormat="1" x14ac:dyDescent="0.3">
      <c r="A288" s="4" t="s">
        <v>245</v>
      </c>
      <c r="B288" s="4"/>
      <c r="C288" s="13">
        <f>SUM(C278:C287)</f>
        <v>19.25</v>
      </c>
      <c r="D288" s="13">
        <f>SUM(D278:D287)</f>
        <v>34478548.035110623</v>
      </c>
      <c r="E288" s="13">
        <f>SUM(E278:E287)</f>
        <v>15295578.693566138</v>
      </c>
      <c r="F288" s="200">
        <f t="shared" si="119"/>
        <v>0.44362595193945392</v>
      </c>
      <c r="G288" s="48"/>
      <c r="H288" s="184">
        <f>SUM(H278:H287)</f>
        <v>13.27</v>
      </c>
      <c r="I288" s="95">
        <f>SUM(I278:I287)</f>
        <v>18563512.73</v>
      </c>
      <c r="J288" s="299">
        <f>SUM(J278:J287)</f>
        <v>6061306.1785749998</v>
      </c>
      <c r="K288" s="335">
        <f>+J288/I288</f>
        <v>0.3265171989124388</v>
      </c>
      <c r="L288" s="98">
        <f t="shared" ref="L288" si="125">+H288-C288</f>
        <v>-5.98</v>
      </c>
      <c r="M288" s="98">
        <f t="shared" ref="M288" si="126">+I288-D288</f>
        <v>-15915035.305110622</v>
      </c>
      <c r="N288" s="300">
        <f t="shared" ref="N288" si="127">+J288-E288</f>
        <v>-9234272.5149911381</v>
      </c>
      <c r="O288" s="4"/>
      <c r="P288" s="4"/>
      <c r="Q288" s="4"/>
    </row>
    <row r="289" spans="1:17" s="37" customFormat="1" x14ac:dyDescent="0.3">
      <c r="A289" s="5" t="s">
        <v>127</v>
      </c>
      <c r="B289" s="11" t="s">
        <v>250</v>
      </c>
      <c r="C289" s="19">
        <v>1</v>
      </c>
      <c r="D289" s="19">
        <v>2399471.4599999995</v>
      </c>
      <c r="E289" s="19">
        <v>1217360.5721499999</v>
      </c>
      <c r="F289" s="202">
        <f t="shared" si="119"/>
        <v>0.50734530184826632</v>
      </c>
      <c r="G289" s="48"/>
      <c r="H289" s="155">
        <v>0.6</v>
      </c>
      <c r="I289" s="28">
        <v>1833260</v>
      </c>
      <c r="J289" s="287">
        <v>824967</v>
      </c>
      <c r="K289" s="248">
        <f>J289/I289</f>
        <v>0.45</v>
      </c>
      <c r="L289" s="4"/>
      <c r="M289" s="4"/>
      <c r="N289" s="269"/>
      <c r="O289" s="4"/>
      <c r="P289" s="4"/>
      <c r="Q289" s="4"/>
    </row>
    <row r="290" spans="1:17" s="37" customFormat="1" x14ac:dyDescent="0.3">
      <c r="A290" s="5" t="s">
        <v>127</v>
      </c>
      <c r="B290" s="9" t="s">
        <v>252</v>
      </c>
      <c r="C290" s="20">
        <v>3.1</v>
      </c>
      <c r="D290" s="20">
        <v>4993473.75</v>
      </c>
      <c r="E290" s="20">
        <v>1868243.2499999998</v>
      </c>
      <c r="F290" s="203">
        <f t="shared" si="119"/>
        <v>0.37413699230921155</v>
      </c>
      <c r="G290" s="48"/>
      <c r="H290" s="172"/>
      <c r="I290" s="50"/>
      <c r="J290" s="267"/>
      <c r="K290" s="242"/>
      <c r="L290" s="4"/>
      <c r="M290" s="4"/>
      <c r="N290" s="269"/>
      <c r="O290" s="4"/>
      <c r="P290" s="4"/>
      <c r="Q290" s="4"/>
    </row>
    <row r="291" spans="1:17" s="37" customFormat="1" x14ac:dyDescent="0.3">
      <c r="A291" s="5" t="s">
        <v>127</v>
      </c>
      <c r="B291" s="11" t="s">
        <v>253</v>
      </c>
      <c r="C291" s="19">
        <v>2.25</v>
      </c>
      <c r="D291" s="19">
        <v>5954901.1862680726</v>
      </c>
      <c r="E291" s="19">
        <v>2525462.2095770398</v>
      </c>
      <c r="F291" s="202">
        <f t="shared" si="119"/>
        <v>0.42409808837814539</v>
      </c>
      <c r="G291" s="48"/>
      <c r="H291" s="162">
        <v>2.25</v>
      </c>
      <c r="I291" s="28">
        <v>5232983</v>
      </c>
      <c r="J291" s="287">
        <v>2186039.2799999998</v>
      </c>
      <c r="K291" s="248">
        <f>J291/I291</f>
        <v>0.41774247690084215</v>
      </c>
      <c r="L291" s="4"/>
      <c r="M291" s="4"/>
      <c r="N291" s="269"/>
      <c r="O291" s="4"/>
      <c r="P291" s="4"/>
      <c r="Q291" s="4"/>
    </row>
    <row r="292" spans="1:17" s="37" customFormat="1" x14ac:dyDescent="0.3">
      <c r="A292" s="5" t="s">
        <v>127</v>
      </c>
      <c r="B292" s="9" t="s">
        <v>356</v>
      </c>
      <c r="C292" s="20">
        <v>2.25</v>
      </c>
      <c r="D292" s="20">
        <v>5964807</v>
      </c>
      <c r="E292" s="20">
        <v>2305647.8425000003</v>
      </c>
      <c r="F292" s="203">
        <f t="shared" si="119"/>
        <v>0.38654190194251048</v>
      </c>
      <c r="G292" s="48"/>
      <c r="H292" s="172"/>
      <c r="I292" s="50"/>
      <c r="J292" s="267"/>
      <c r="K292" s="242"/>
      <c r="L292" s="4"/>
      <c r="M292" s="4"/>
      <c r="N292" s="269"/>
      <c r="O292" s="4"/>
      <c r="P292" s="4"/>
      <c r="Q292" s="4"/>
    </row>
    <row r="293" spans="1:17" s="37" customFormat="1" x14ac:dyDescent="0.3">
      <c r="A293" s="5" t="s">
        <v>127</v>
      </c>
      <c r="B293" s="11" t="s">
        <v>304</v>
      </c>
      <c r="C293" s="19">
        <v>2.25</v>
      </c>
      <c r="D293" s="19">
        <v>5212019.8</v>
      </c>
      <c r="E293" s="19">
        <v>1362958.9545</v>
      </c>
      <c r="F293" s="202">
        <f t="shared" si="119"/>
        <v>0.26150302700308237</v>
      </c>
      <c r="G293" s="48"/>
      <c r="H293" s="162">
        <v>2.25</v>
      </c>
      <c r="I293" s="28">
        <v>5727771.2249999996</v>
      </c>
      <c r="J293" s="287">
        <v>1867104.3661874994</v>
      </c>
      <c r="K293" s="248">
        <f>J293/I293</f>
        <v>0.32597397710965653</v>
      </c>
      <c r="L293" s="4"/>
      <c r="M293" s="4"/>
      <c r="N293" s="269"/>
      <c r="O293" s="4"/>
      <c r="P293" s="4"/>
      <c r="Q293" s="4"/>
    </row>
    <row r="294" spans="1:17" s="37" customFormat="1" x14ac:dyDescent="0.3">
      <c r="A294" s="5" t="s">
        <v>127</v>
      </c>
      <c r="B294" s="9" t="s">
        <v>255</v>
      </c>
      <c r="C294" s="20">
        <v>0.2</v>
      </c>
      <c r="D294" s="20">
        <v>511496.51</v>
      </c>
      <c r="E294" s="20">
        <v>270474.21852499997</v>
      </c>
      <c r="F294" s="203">
        <f t="shared" si="119"/>
        <v>0.52878995894810699</v>
      </c>
      <c r="G294" s="48"/>
      <c r="H294" s="172"/>
      <c r="I294" s="49"/>
      <c r="J294" s="303"/>
      <c r="K294" s="242"/>
      <c r="L294" s="4"/>
      <c r="M294" s="4"/>
      <c r="N294" s="269"/>
      <c r="O294" s="4"/>
      <c r="P294" s="4"/>
      <c r="Q294" s="4"/>
    </row>
    <row r="295" spans="1:17" s="37" customFormat="1" x14ac:dyDescent="0.3">
      <c r="A295" s="5" t="s">
        <v>127</v>
      </c>
      <c r="B295" s="9" t="s">
        <v>357</v>
      </c>
      <c r="C295" s="20">
        <v>0.2</v>
      </c>
      <c r="D295" s="20">
        <v>315624</v>
      </c>
      <c r="E295" s="20">
        <v>148612.68</v>
      </c>
      <c r="F295" s="203">
        <f t="shared" si="119"/>
        <v>0.47085354725876355</v>
      </c>
      <c r="G295" s="48"/>
      <c r="H295" s="172"/>
      <c r="I295" s="49"/>
      <c r="J295" s="303"/>
      <c r="K295" s="242"/>
      <c r="L295" s="4"/>
      <c r="M295" s="4"/>
      <c r="N295" s="269"/>
      <c r="O295" s="4"/>
      <c r="P295" s="4"/>
      <c r="Q295" s="4"/>
    </row>
    <row r="296" spans="1:17" s="37" customFormat="1" x14ac:dyDescent="0.3">
      <c r="A296" s="5" t="s">
        <v>127</v>
      </c>
      <c r="B296" s="9" t="s">
        <v>256</v>
      </c>
      <c r="C296" s="20">
        <v>2.25</v>
      </c>
      <c r="D296" s="20">
        <v>5643262.1999999993</v>
      </c>
      <c r="E296" s="20">
        <v>2709627.3005000008</v>
      </c>
      <c r="F296" s="203">
        <f t="shared" si="119"/>
        <v>0.48015265009306163</v>
      </c>
      <c r="G296" s="48"/>
      <c r="H296" s="172"/>
      <c r="I296" s="49"/>
      <c r="J296" s="303"/>
      <c r="K296" s="242"/>
      <c r="L296" s="4"/>
      <c r="M296" s="4"/>
      <c r="N296" s="269"/>
      <c r="O296" s="4"/>
      <c r="P296" s="4"/>
      <c r="Q296" s="4"/>
    </row>
    <row r="297" spans="1:17" s="37" customFormat="1" x14ac:dyDescent="0.3">
      <c r="A297" s="5" t="s">
        <v>127</v>
      </c>
      <c r="B297" s="9" t="s">
        <v>282</v>
      </c>
      <c r="C297" s="20">
        <v>2.25</v>
      </c>
      <c r="D297" s="20">
        <v>3464532</v>
      </c>
      <c r="E297" s="20">
        <v>1126542.5299999998</v>
      </c>
      <c r="F297" s="203">
        <f t="shared" si="119"/>
        <v>0.32516441758944636</v>
      </c>
      <c r="G297" s="48"/>
      <c r="H297" s="172"/>
      <c r="I297" s="49"/>
      <c r="J297" s="303"/>
      <c r="K297" s="242"/>
      <c r="L297" s="4"/>
      <c r="M297" s="4"/>
      <c r="N297" s="269"/>
      <c r="O297" s="4"/>
      <c r="P297" s="4"/>
      <c r="Q297" s="4"/>
    </row>
    <row r="298" spans="1:17" s="37" customFormat="1" x14ac:dyDescent="0.3">
      <c r="A298" s="5" t="s">
        <v>127</v>
      </c>
      <c r="B298" s="30" t="s">
        <v>305</v>
      </c>
      <c r="C298" s="34"/>
      <c r="D298" s="34"/>
      <c r="E298" s="34"/>
      <c r="F298" s="218"/>
      <c r="G298" s="48"/>
      <c r="H298" s="166">
        <v>2.25</v>
      </c>
      <c r="I298" s="31">
        <v>5500706</v>
      </c>
      <c r="J298" s="262">
        <v>2083712</v>
      </c>
      <c r="K298" s="244">
        <f>J298/I298</f>
        <v>0.37880810208725935</v>
      </c>
      <c r="L298" s="4"/>
      <c r="M298" s="4"/>
      <c r="N298" s="269"/>
      <c r="O298" s="4"/>
      <c r="P298" s="4"/>
      <c r="Q298" s="4"/>
    </row>
    <row r="299" spans="1:17" s="37" customFormat="1" x14ac:dyDescent="0.3">
      <c r="A299" s="4" t="s">
        <v>259</v>
      </c>
      <c r="B299" s="4"/>
      <c r="C299" s="13">
        <v>15.749999999999998</v>
      </c>
      <c r="D299" s="13">
        <v>34459587.906268075</v>
      </c>
      <c r="E299" s="13">
        <v>13534929.557752041</v>
      </c>
      <c r="F299" s="200">
        <f t="shared" si="119"/>
        <v>0.39277688388403759</v>
      </c>
      <c r="G299" s="48"/>
      <c r="H299" s="163">
        <f>SUM(H289:H298)</f>
        <v>7.35</v>
      </c>
      <c r="I299" s="95">
        <f t="shared" ref="I299" si="128">SUM(I289:I298)</f>
        <v>18294720.225000001</v>
      </c>
      <c r="J299" s="299">
        <f>SUM(J289:J298)</f>
        <v>6961822.6461874992</v>
      </c>
      <c r="K299" s="335">
        <f>+J299/I299</f>
        <v>0.38053725668207089</v>
      </c>
      <c r="L299" s="98">
        <f t="shared" ref="L299" si="129">+H299-C299</f>
        <v>-8.3999999999999986</v>
      </c>
      <c r="M299" s="98">
        <f t="shared" ref="M299" si="130">+I299-D299</f>
        <v>-16164867.681268074</v>
      </c>
      <c r="N299" s="300">
        <f t="shared" ref="N299" si="131">+J299-E299</f>
        <v>-6573106.911564542</v>
      </c>
      <c r="O299" s="4"/>
      <c r="P299" s="4"/>
      <c r="Q299" s="4"/>
    </row>
    <row r="300" spans="1:17" s="37" customFormat="1" x14ac:dyDescent="0.3">
      <c r="A300" s="4"/>
      <c r="B300" s="4"/>
      <c r="C300" s="13"/>
      <c r="D300" s="13"/>
      <c r="E300" s="13"/>
      <c r="F300" s="200"/>
      <c r="G300" s="48"/>
      <c r="H300" s="163"/>
      <c r="I300" s="4"/>
      <c r="J300" s="269"/>
      <c r="K300" s="191"/>
      <c r="L300" s="4"/>
      <c r="M300" s="4"/>
      <c r="N300" s="269"/>
      <c r="O300" s="4"/>
      <c r="P300" s="4"/>
      <c r="Q300" s="4"/>
    </row>
    <row r="301" spans="1:17" s="37" customFormat="1" x14ac:dyDescent="0.3">
      <c r="A301" s="4" t="s">
        <v>260</v>
      </c>
      <c r="B301" s="4"/>
      <c r="C301" s="150">
        <f t="shared" ref="C301:E301" si="132">+C299</f>
        <v>15.749999999999998</v>
      </c>
      <c r="D301" s="150">
        <f t="shared" si="132"/>
        <v>34459587.906268075</v>
      </c>
      <c r="E301" s="150">
        <f t="shared" si="132"/>
        <v>13534929.557752041</v>
      </c>
      <c r="F301" s="200">
        <f t="shared" si="119"/>
        <v>0.39277688388403759</v>
      </c>
      <c r="G301" s="48"/>
      <c r="H301" s="163">
        <f>+H299</f>
        <v>7.35</v>
      </c>
      <c r="I301" s="13">
        <f t="shared" ref="I301:J301" si="133">+I299</f>
        <v>18294720.225000001</v>
      </c>
      <c r="J301" s="256">
        <f t="shared" si="133"/>
        <v>6961822.6461874992</v>
      </c>
      <c r="K301" s="335">
        <f>+J301/I301</f>
        <v>0.38053725668207089</v>
      </c>
      <c r="L301" s="98">
        <f t="shared" ref="L301:L303" si="134">+H301-C301</f>
        <v>-8.3999999999999986</v>
      </c>
      <c r="M301" s="98">
        <f t="shared" ref="M301:M303" si="135">+I301-D301</f>
        <v>-16164867.681268074</v>
      </c>
      <c r="N301" s="300">
        <f t="shared" ref="N301:N303" si="136">+J301-E301</f>
        <v>-6573106.911564542</v>
      </c>
      <c r="O301" s="4"/>
      <c r="P301" s="4"/>
      <c r="Q301" s="4"/>
    </row>
    <row r="302" spans="1:17" s="37" customFormat="1" x14ac:dyDescent="0.3">
      <c r="A302" s="4" t="s">
        <v>261</v>
      </c>
      <c r="B302" s="4"/>
      <c r="C302" s="183">
        <f t="shared" ref="C302:E302" si="137">+C288+C276</f>
        <v>32.85</v>
      </c>
      <c r="D302" s="183">
        <f t="shared" si="137"/>
        <v>64436638.48191978</v>
      </c>
      <c r="E302" s="183">
        <f t="shared" si="137"/>
        <v>27191689.285322092</v>
      </c>
      <c r="F302" s="200">
        <f t="shared" si="119"/>
        <v>0.42199112067200378</v>
      </c>
      <c r="G302" s="48"/>
      <c r="H302" s="184">
        <f>+H288+H276</f>
        <v>27.52</v>
      </c>
      <c r="I302" s="13">
        <f>+I288+I276</f>
        <v>56233264.210000008</v>
      </c>
      <c r="J302" s="256">
        <f>+J288+J276</f>
        <v>19477335.788575001</v>
      </c>
      <c r="K302" s="335">
        <f>+J302/I302</f>
        <v>0.34636680018854982</v>
      </c>
      <c r="L302" s="98">
        <f t="shared" si="134"/>
        <v>-5.3300000000000018</v>
      </c>
      <c r="M302" s="98">
        <f t="shared" si="135"/>
        <v>-8203374.271919772</v>
      </c>
      <c r="N302" s="300">
        <f t="shared" si="136"/>
        <v>-7714353.4967470914</v>
      </c>
      <c r="O302" s="4"/>
      <c r="P302" s="4"/>
      <c r="Q302" s="4"/>
    </row>
    <row r="303" spans="1:17" x14ac:dyDescent="0.3">
      <c r="A303" s="4" t="s">
        <v>262</v>
      </c>
      <c r="B303" s="5"/>
      <c r="C303" s="13">
        <f>+C301+C302</f>
        <v>48.6</v>
      </c>
      <c r="D303" s="13">
        <f t="shared" ref="D303:J303" si="138">+D301+D302</f>
        <v>98896226.388187855</v>
      </c>
      <c r="E303" s="13">
        <f t="shared" si="138"/>
        <v>40726618.843074135</v>
      </c>
      <c r="F303" s="200">
        <f t="shared" si="119"/>
        <v>0.4118116568291883</v>
      </c>
      <c r="G303" s="139"/>
      <c r="H303" s="150">
        <f t="shared" si="138"/>
        <v>34.869999999999997</v>
      </c>
      <c r="I303" s="13">
        <f t="shared" si="138"/>
        <v>74527984.435000002</v>
      </c>
      <c r="J303" s="256">
        <f t="shared" si="138"/>
        <v>26439158.4347625</v>
      </c>
      <c r="K303" s="192">
        <f>+J303/I303</f>
        <v>0.35475477614481254</v>
      </c>
      <c r="L303" s="98">
        <f t="shared" si="134"/>
        <v>-13.730000000000004</v>
      </c>
      <c r="M303" s="98">
        <f t="shared" si="135"/>
        <v>-24368241.953187853</v>
      </c>
      <c r="N303" s="300">
        <f t="shared" si="136"/>
        <v>-14287460.408311635</v>
      </c>
      <c r="O303" s="5"/>
      <c r="P303" s="5"/>
      <c r="Q303" s="5"/>
    </row>
    <row r="304" spans="1:17" x14ac:dyDescent="0.3">
      <c r="A304" s="3"/>
      <c r="B304" s="3"/>
      <c r="C304" s="23"/>
      <c r="D304" s="23"/>
      <c r="E304" s="23"/>
      <c r="F304" s="204"/>
      <c r="G304" s="362"/>
      <c r="H304" s="151"/>
      <c r="I304" s="3"/>
      <c r="J304" s="3"/>
      <c r="K304" s="3"/>
      <c r="L304" s="3"/>
      <c r="M304" s="3"/>
      <c r="N304" s="3"/>
      <c r="O304" s="5"/>
      <c r="P304" s="5"/>
      <c r="Q304" s="5"/>
    </row>
    <row r="305" spans="1:17" x14ac:dyDescent="0.3">
      <c r="A305" s="3"/>
      <c r="B305" s="3"/>
      <c r="C305" s="23"/>
      <c r="D305" s="23"/>
      <c r="E305" s="23"/>
      <c r="F305" s="204"/>
      <c r="G305" s="362"/>
      <c r="H305" s="151"/>
      <c r="I305" s="3"/>
      <c r="J305" s="3"/>
      <c r="K305" s="3"/>
      <c r="L305" s="3"/>
      <c r="M305" s="3"/>
      <c r="N305" s="3"/>
      <c r="O305" s="5"/>
      <c r="P305" s="5"/>
      <c r="Q305" s="5"/>
    </row>
    <row r="306" spans="1:17" x14ac:dyDescent="0.3">
      <c r="A306" s="4" t="s">
        <v>226</v>
      </c>
      <c r="B306" s="4" t="s">
        <v>358</v>
      </c>
      <c r="C306" s="338" t="s">
        <v>228</v>
      </c>
      <c r="D306" s="338"/>
      <c r="E306" s="338"/>
      <c r="F306" s="338"/>
      <c r="G306" s="338"/>
      <c r="H306" s="336" t="s">
        <v>229</v>
      </c>
      <c r="I306" s="336"/>
      <c r="J306" s="336"/>
      <c r="K306" s="190"/>
      <c r="L306" s="336" t="s">
        <v>394</v>
      </c>
      <c r="M306" s="336"/>
      <c r="N306" s="339"/>
      <c r="O306" s="5"/>
      <c r="P306" s="5"/>
      <c r="Q306" s="5"/>
    </row>
    <row r="307" spans="1:17" x14ac:dyDescent="0.3">
      <c r="A307" s="5"/>
      <c r="B307" s="5"/>
      <c r="C307" s="6"/>
      <c r="D307" s="6"/>
      <c r="E307" s="6"/>
      <c r="F307" s="199"/>
      <c r="G307" s="7"/>
      <c r="H307" s="66"/>
      <c r="I307" s="5"/>
      <c r="J307" s="40"/>
      <c r="K307" s="190"/>
      <c r="L307" s="5"/>
      <c r="M307" s="5"/>
      <c r="N307" s="40"/>
      <c r="O307" s="5"/>
      <c r="P307" s="5"/>
      <c r="Q307" s="5"/>
    </row>
    <row r="308" spans="1:17" x14ac:dyDescent="0.3">
      <c r="A308" s="5" t="s">
        <v>230</v>
      </c>
      <c r="B308" s="5" t="s">
        <v>231</v>
      </c>
      <c r="C308" s="6" t="s">
        <v>232</v>
      </c>
      <c r="D308" s="6" t="s">
        <v>233</v>
      </c>
      <c r="E308" s="6" t="s">
        <v>234</v>
      </c>
      <c r="F308" s="231" t="s">
        <v>396</v>
      </c>
      <c r="G308" s="8"/>
      <c r="H308" s="141" t="s">
        <v>232</v>
      </c>
      <c r="I308" s="6" t="s">
        <v>233</v>
      </c>
      <c r="J308" s="252" t="s">
        <v>234</v>
      </c>
      <c r="K308" s="332" t="s">
        <v>396</v>
      </c>
      <c r="L308" s="6" t="s">
        <v>232</v>
      </c>
      <c r="M308" s="6" t="s">
        <v>233</v>
      </c>
      <c r="N308" s="252" t="s">
        <v>234</v>
      </c>
      <c r="O308" s="5"/>
      <c r="P308" s="5"/>
      <c r="Q308" s="5"/>
    </row>
    <row r="309" spans="1:17" x14ac:dyDescent="0.3">
      <c r="A309" s="5" t="s">
        <v>130</v>
      </c>
      <c r="B309" s="9" t="s">
        <v>264</v>
      </c>
      <c r="C309" s="26">
        <v>2.25</v>
      </c>
      <c r="D309" s="26">
        <v>9016589.1999999993</v>
      </c>
      <c r="E309" s="26">
        <v>5549950.943</v>
      </c>
      <c r="F309" s="197">
        <f t="shared" ref="F309:F341" si="139">+E309/D309</f>
        <v>0.61552664981121696</v>
      </c>
      <c r="G309" s="7"/>
      <c r="H309" s="154"/>
      <c r="I309" s="27"/>
      <c r="J309" s="260"/>
      <c r="K309" s="260"/>
      <c r="L309" s="5"/>
      <c r="M309" s="5"/>
      <c r="N309" s="40"/>
      <c r="O309" s="5"/>
      <c r="P309" s="5"/>
      <c r="Q309" s="5"/>
    </row>
    <row r="310" spans="1:17" x14ac:dyDescent="0.3">
      <c r="A310" s="5" t="s">
        <v>130</v>
      </c>
      <c r="B310" s="9" t="s">
        <v>265</v>
      </c>
      <c r="C310" s="26">
        <v>1</v>
      </c>
      <c r="D310" s="26">
        <v>1262031</v>
      </c>
      <c r="E310" s="26">
        <v>478377.80250000005</v>
      </c>
      <c r="F310" s="197">
        <f t="shared" si="139"/>
        <v>0.379053923794265</v>
      </c>
      <c r="G310" s="7"/>
      <c r="H310" s="154"/>
      <c r="I310" s="27"/>
      <c r="J310" s="260"/>
      <c r="K310" s="243"/>
      <c r="L310" s="5"/>
      <c r="M310" s="5"/>
      <c r="N310" s="40"/>
      <c r="O310" s="5"/>
      <c r="P310" s="5"/>
      <c r="Q310" s="5"/>
    </row>
    <row r="311" spans="1:17" x14ac:dyDescent="0.3">
      <c r="A311" s="5" t="s">
        <v>130</v>
      </c>
      <c r="B311" s="11" t="s">
        <v>237</v>
      </c>
      <c r="C311" s="132">
        <v>7</v>
      </c>
      <c r="D311" s="132">
        <v>11581180.707999999</v>
      </c>
      <c r="E311" s="132">
        <v>5076310.2220700011</v>
      </c>
      <c r="F311" s="198">
        <f t="shared" si="139"/>
        <v>0.438324066436802</v>
      </c>
      <c r="G311" s="7"/>
      <c r="H311" s="155">
        <v>12.25</v>
      </c>
      <c r="I311" s="28">
        <v>33346766.030000001</v>
      </c>
      <c r="J311" s="287">
        <v>11719886.029999999</v>
      </c>
      <c r="K311" s="248">
        <f t="shared" ref="K311:K341" si="140">+J311/I311</f>
        <v>0.35145495126742876</v>
      </c>
      <c r="L311" s="5"/>
      <c r="M311" s="5"/>
      <c r="N311" s="40"/>
      <c r="O311" s="5"/>
      <c r="P311" s="5"/>
      <c r="Q311" s="5"/>
    </row>
    <row r="312" spans="1:17" x14ac:dyDescent="0.3">
      <c r="A312" s="5" t="s">
        <v>130</v>
      </c>
      <c r="B312" s="9" t="s">
        <v>266</v>
      </c>
      <c r="C312" s="26">
        <v>0.1</v>
      </c>
      <c r="D312" s="26">
        <v>425000</v>
      </c>
      <c r="E312" s="26">
        <v>299937.49999999994</v>
      </c>
      <c r="F312" s="197">
        <f t="shared" si="139"/>
        <v>0.70573529411764691</v>
      </c>
      <c r="G312" s="7"/>
      <c r="H312" s="154"/>
      <c r="I312" s="27"/>
      <c r="J312" s="260"/>
      <c r="K312" s="243"/>
      <c r="L312" s="5"/>
      <c r="M312" s="5"/>
      <c r="N312" s="40"/>
      <c r="O312" s="5"/>
      <c r="P312" s="5"/>
      <c r="Q312" s="5"/>
    </row>
    <row r="313" spans="1:17" x14ac:dyDescent="0.3">
      <c r="A313" s="5" t="s">
        <v>130</v>
      </c>
      <c r="B313" s="9" t="s">
        <v>267</v>
      </c>
      <c r="C313" s="26">
        <v>1</v>
      </c>
      <c r="D313" s="26">
        <v>1820620</v>
      </c>
      <c r="E313" s="26">
        <v>894410.75000000012</v>
      </c>
      <c r="F313" s="197">
        <f t="shared" si="139"/>
        <v>0.4912671232876713</v>
      </c>
      <c r="G313" s="7"/>
      <c r="H313" s="154"/>
      <c r="I313" s="27"/>
      <c r="J313" s="260"/>
      <c r="K313" s="243"/>
      <c r="L313" s="5"/>
      <c r="M313" s="5"/>
      <c r="N313" s="40"/>
      <c r="O313" s="5"/>
      <c r="P313" s="5"/>
      <c r="Q313" s="5"/>
    </row>
    <row r="314" spans="1:17" x14ac:dyDescent="0.3">
      <c r="A314" s="5" t="s">
        <v>130</v>
      </c>
      <c r="B314" s="9" t="s">
        <v>238</v>
      </c>
      <c r="C314" s="26">
        <v>2.2000000000000002</v>
      </c>
      <c r="D314" s="26">
        <v>4511118.5709799994</v>
      </c>
      <c r="E314" s="26">
        <v>2172679.1631329497</v>
      </c>
      <c r="F314" s="197">
        <f t="shared" si="139"/>
        <v>0.48162758946523432</v>
      </c>
      <c r="G314" s="7"/>
      <c r="H314" s="154"/>
      <c r="I314" s="27"/>
      <c r="J314" s="260"/>
      <c r="K314" s="243"/>
      <c r="L314" s="5"/>
      <c r="M314" s="5"/>
      <c r="N314" s="40"/>
      <c r="O314" s="5"/>
      <c r="P314" s="5"/>
      <c r="Q314" s="5"/>
    </row>
    <row r="315" spans="1:17" x14ac:dyDescent="0.3">
      <c r="A315" s="5" t="s">
        <v>130</v>
      </c>
      <c r="B315" s="30" t="s">
        <v>359</v>
      </c>
      <c r="C315" s="328"/>
      <c r="D315" s="328"/>
      <c r="E315" s="328"/>
      <c r="F315" s="218"/>
      <c r="G315" s="7"/>
      <c r="H315" s="329">
        <v>2.25</v>
      </c>
      <c r="I315" s="330">
        <v>6280659</v>
      </c>
      <c r="J315" s="331">
        <v>1035695.77</v>
      </c>
      <c r="K315" s="244">
        <f t="shared" si="140"/>
        <v>0.16490240434960726</v>
      </c>
      <c r="L315" s="5"/>
      <c r="M315" s="5"/>
      <c r="N315" s="40"/>
      <c r="O315" s="5"/>
      <c r="P315" s="5"/>
      <c r="Q315" s="5"/>
    </row>
    <row r="316" spans="1:17" s="37" customFormat="1" x14ac:dyDescent="0.3">
      <c r="A316" s="4" t="s">
        <v>241</v>
      </c>
      <c r="B316" s="4"/>
      <c r="C316" s="22">
        <f>SUM(C309:C314)</f>
        <v>13.55</v>
      </c>
      <c r="D316" s="22">
        <f t="shared" ref="D316:E316" si="141">SUM(D309:D314)</f>
        <v>28616539.478979997</v>
      </c>
      <c r="E316" s="22">
        <f t="shared" si="141"/>
        <v>14471666.38070295</v>
      </c>
      <c r="F316" s="200">
        <f t="shared" si="139"/>
        <v>0.50570986723719591</v>
      </c>
      <c r="G316" s="48"/>
      <c r="H316" s="185">
        <f>SUM(H309:H315)</f>
        <v>14.5</v>
      </c>
      <c r="I316" s="138">
        <f t="shared" ref="I316:J316" si="142">SUM(I309:I315)</f>
        <v>39627425.030000001</v>
      </c>
      <c r="J316" s="304">
        <f t="shared" si="142"/>
        <v>12755581.799999999</v>
      </c>
      <c r="K316" s="191">
        <f t="shared" si="140"/>
        <v>0.32188772776286539</v>
      </c>
      <c r="L316" s="98">
        <f t="shared" ref="L316" si="143">+H316-C316</f>
        <v>0.94999999999999929</v>
      </c>
      <c r="M316" s="98">
        <f t="shared" ref="M316" si="144">+I316-D316</f>
        <v>11010885.551020004</v>
      </c>
      <c r="N316" s="300">
        <f t="shared" ref="N316" si="145">+J316-E316</f>
        <v>-1716084.5807029512</v>
      </c>
      <c r="O316" s="4"/>
      <c r="P316" s="4"/>
      <c r="Q316" s="4"/>
    </row>
    <row r="317" spans="1:17" x14ac:dyDescent="0.3">
      <c r="A317" s="5" t="s">
        <v>137</v>
      </c>
      <c r="B317" s="9" t="s">
        <v>290</v>
      </c>
      <c r="C317" s="26">
        <v>4.45</v>
      </c>
      <c r="D317" s="26">
        <v>6188312.7150000008</v>
      </c>
      <c r="E317" s="26">
        <v>2382674.6789125004</v>
      </c>
      <c r="F317" s="197">
        <f t="shared" si="139"/>
        <v>0.38502816335332857</v>
      </c>
      <c r="G317" s="7"/>
      <c r="H317" s="240"/>
      <c r="I317" s="241"/>
      <c r="J317" s="295"/>
      <c r="K317" s="243"/>
      <c r="L317" s="5"/>
      <c r="M317" s="5"/>
      <c r="N317" s="40"/>
      <c r="O317" s="5"/>
      <c r="P317" s="5"/>
      <c r="Q317" s="5"/>
    </row>
    <row r="318" spans="1:17" x14ac:dyDescent="0.3">
      <c r="A318" s="5" t="s">
        <v>137</v>
      </c>
      <c r="B318" s="9" t="s">
        <v>329</v>
      </c>
      <c r="C318" s="26">
        <v>1.1000000000000001</v>
      </c>
      <c r="D318" s="26">
        <v>935637.5</v>
      </c>
      <c r="E318" s="26">
        <v>413785.65625</v>
      </c>
      <c r="F318" s="197">
        <f t="shared" si="139"/>
        <v>0.44224996994028137</v>
      </c>
      <c r="G318" s="7"/>
      <c r="H318" s="154"/>
      <c r="I318" s="27"/>
      <c r="J318" s="260"/>
      <c r="K318" s="243"/>
      <c r="L318" s="5"/>
      <c r="M318" s="5"/>
      <c r="N318" s="40"/>
      <c r="O318" s="5"/>
      <c r="P318" s="5"/>
      <c r="Q318" s="5"/>
    </row>
    <row r="319" spans="1:17" x14ac:dyDescent="0.3">
      <c r="A319" s="5" t="s">
        <v>137</v>
      </c>
      <c r="B319" s="11" t="s">
        <v>242</v>
      </c>
      <c r="C319" s="132">
        <v>4.5</v>
      </c>
      <c r="D319" s="132">
        <v>8837560.2637000009</v>
      </c>
      <c r="E319" s="132">
        <v>4195388.1577667492</v>
      </c>
      <c r="F319" s="198">
        <f t="shared" si="139"/>
        <v>0.47472243838598455</v>
      </c>
      <c r="G319" s="7"/>
      <c r="H319" s="155">
        <v>4.5</v>
      </c>
      <c r="I319" s="28">
        <v>9300000</v>
      </c>
      <c r="J319" s="287">
        <v>3100000</v>
      </c>
      <c r="K319" s="248">
        <f t="shared" si="140"/>
        <v>0.33333333333333331</v>
      </c>
      <c r="L319" s="5"/>
      <c r="M319" s="5"/>
      <c r="N319" s="40"/>
      <c r="O319" s="5"/>
      <c r="P319" s="5"/>
      <c r="Q319" s="5"/>
    </row>
    <row r="320" spans="1:17" x14ac:dyDescent="0.3">
      <c r="A320" s="5" t="s">
        <v>137</v>
      </c>
      <c r="B320" s="11" t="s">
        <v>330</v>
      </c>
      <c r="C320" s="132">
        <v>2.25</v>
      </c>
      <c r="D320" s="132">
        <v>2079248.482139403</v>
      </c>
      <c r="E320" s="132">
        <v>975815.22707652743</v>
      </c>
      <c r="F320" s="198">
        <f t="shared" si="139"/>
        <v>0.46931150146733835</v>
      </c>
      <c r="G320" s="7"/>
      <c r="H320" s="155">
        <v>6.75</v>
      </c>
      <c r="I320" s="28">
        <v>7200000</v>
      </c>
      <c r="J320" s="287">
        <v>2600000</v>
      </c>
      <c r="K320" s="248">
        <f t="shared" si="140"/>
        <v>0.3611111111111111</v>
      </c>
      <c r="L320" s="5"/>
      <c r="M320" s="5"/>
      <c r="N320" s="40"/>
      <c r="O320" s="5"/>
      <c r="P320" s="5"/>
      <c r="Q320" s="5"/>
    </row>
    <row r="321" spans="1:17" x14ac:dyDescent="0.3">
      <c r="A321" s="5" t="s">
        <v>137</v>
      </c>
      <c r="B321" s="9" t="s">
        <v>360</v>
      </c>
      <c r="C321" s="26">
        <v>2.25</v>
      </c>
      <c r="D321" s="26">
        <v>3810029.12</v>
      </c>
      <c r="E321" s="26">
        <v>2001260.2648</v>
      </c>
      <c r="F321" s="197">
        <f t="shared" si="139"/>
        <v>0.52526114677044777</v>
      </c>
      <c r="G321" s="7"/>
      <c r="H321" s="154"/>
      <c r="I321" s="27"/>
      <c r="J321" s="260"/>
      <c r="K321" s="243"/>
      <c r="L321" s="5"/>
      <c r="M321" s="5"/>
      <c r="N321" s="40"/>
      <c r="O321" s="5"/>
      <c r="P321" s="5"/>
      <c r="Q321" s="5"/>
    </row>
    <row r="322" spans="1:17" x14ac:dyDescent="0.3">
      <c r="A322" s="5" t="s">
        <v>137</v>
      </c>
      <c r="B322" s="9" t="s">
        <v>314</v>
      </c>
      <c r="C322" s="26">
        <v>1</v>
      </c>
      <c r="D322" s="26">
        <v>5849700</v>
      </c>
      <c r="E322" s="26">
        <v>3510081.7499999995</v>
      </c>
      <c r="F322" s="197">
        <f t="shared" si="139"/>
        <v>0.60004474588440426</v>
      </c>
      <c r="G322" s="7"/>
      <c r="H322" s="154"/>
      <c r="I322" s="27"/>
      <c r="J322" s="260"/>
      <c r="K322" s="243"/>
      <c r="L322" s="5"/>
      <c r="M322" s="5"/>
      <c r="N322" s="40"/>
      <c r="O322" s="5"/>
      <c r="P322" s="5"/>
      <c r="Q322" s="5"/>
    </row>
    <row r="323" spans="1:17" s="37" customFormat="1" x14ac:dyDescent="0.3">
      <c r="A323" s="4" t="s">
        <v>245</v>
      </c>
      <c r="B323" s="4"/>
      <c r="C323" s="184">
        <f>SUM(C317:C322)</f>
        <v>15.55</v>
      </c>
      <c r="D323" s="184">
        <f t="shared" ref="D323:E323" si="146">SUM(D317:D322)</f>
        <v>27700488.080839407</v>
      </c>
      <c r="E323" s="184">
        <f t="shared" si="146"/>
        <v>13479005.734805778</v>
      </c>
      <c r="F323" s="200">
        <f t="shared" si="139"/>
        <v>0.48659813124842688</v>
      </c>
      <c r="G323" s="48"/>
      <c r="H323" s="184">
        <f>SUM(H317:H322)</f>
        <v>11.25</v>
      </c>
      <c r="I323" s="184">
        <f t="shared" ref="I323:J323" si="147">SUM(I317:I322)</f>
        <v>16500000</v>
      </c>
      <c r="J323" s="184">
        <f t="shared" si="147"/>
        <v>5700000</v>
      </c>
      <c r="K323" s="191">
        <f t="shared" si="140"/>
        <v>0.34545454545454546</v>
      </c>
      <c r="L323" s="98">
        <f t="shared" ref="L323" si="148">+H323-C323</f>
        <v>-4.3000000000000007</v>
      </c>
      <c r="M323" s="98">
        <f t="shared" ref="M323" si="149">+I323-D323</f>
        <v>-11200488.080839407</v>
      </c>
      <c r="N323" s="300">
        <f t="shared" ref="N323" si="150">+J323-E323</f>
        <v>-7779005.7348057777</v>
      </c>
      <c r="O323" s="4"/>
      <c r="P323" s="4"/>
      <c r="Q323" s="4"/>
    </row>
    <row r="324" spans="1:17" x14ac:dyDescent="0.3">
      <c r="A324" s="5" t="s">
        <v>115</v>
      </c>
      <c r="B324" s="9" t="s">
        <v>277</v>
      </c>
      <c r="C324" s="26">
        <v>2</v>
      </c>
      <c r="D324" s="26">
        <v>2956535.875</v>
      </c>
      <c r="E324" s="26">
        <v>1093761.3178125001</v>
      </c>
      <c r="F324" s="197">
        <f t="shared" si="139"/>
        <v>0.36994691221614218</v>
      </c>
      <c r="G324" s="7"/>
      <c r="H324" s="154"/>
      <c r="I324" s="27"/>
      <c r="J324" s="260"/>
      <c r="K324" s="243"/>
      <c r="L324" s="5"/>
      <c r="M324" s="5"/>
      <c r="N324" s="40"/>
      <c r="O324" s="5"/>
      <c r="P324" s="5"/>
      <c r="Q324" s="5"/>
    </row>
    <row r="325" spans="1:17" x14ac:dyDescent="0.3">
      <c r="A325" s="5" t="s">
        <v>115</v>
      </c>
      <c r="B325" s="16" t="s">
        <v>361</v>
      </c>
      <c r="C325" s="128"/>
      <c r="D325" s="128"/>
      <c r="E325" s="128"/>
      <c r="F325" s="206"/>
      <c r="G325" s="48"/>
      <c r="H325" s="177">
        <v>2.25</v>
      </c>
      <c r="I325" s="80">
        <v>3569943</v>
      </c>
      <c r="J325" s="285">
        <v>706188</v>
      </c>
      <c r="K325" s="244">
        <f t="shared" si="140"/>
        <v>0.19781492309541077</v>
      </c>
      <c r="L325" s="4"/>
      <c r="M325" s="4"/>
      <c r="N325" s="269"/>
      <c r="O325" s="5"/>
      <c r="P325" s="5"/>
      <c r="Q325" s="5"/>
    </row>
    <row r="326" spans="1:17" x14ac:dyDescent="0.3">
      <c r="A326" s="5" t="s">
        <v>115</v>
      </c>
      <c r="B326" s="9" t="s">
        <v>247</v>
      </c>
      <c r="C326" s="26">
        <v>2.25</v>
      </c>
      <c r="D326" s="26">
        <v>3338829.5636006137</v>
      </c>
      <c r="E326" s="26">
        <v>1423250.3784196002</v>
      </c>
      <c r="F326" s="197">
        <f t="shared" si="139"/>
        <v>0.42627224639905203</v>
      </c>
      <c r="G326" s="7"/>
      <c r="H326" s="154"/>
      <c r="I326" s="27"/>
      <c r="J326" s="260"/>
      <c r="K326" s="243"/>
      <c r="L326" s="5"/>
      <c r="M326" s="5"/>
      <c r="N326" s="40"/>
      <c r="O326" s="5"/>
      <c r="P326" s="5"/>
      <c r="Q326" s="5"/>
    </row>
    <row r="327" spans="1:17" s="37" customFormat="1" x14ac:dyDescent="0.3">
      <c r="A327" s="4" t="s">
        <v>249</v>
      </c>
      <c r="B327" s="4"/>
      <c r="C327" s="184">
        <f>SUM(C324:C326)</f>
        <v>4.25</v>
      </c>
      <c r="D327" s="184">
        <f t="shared" ref="D327:E327" si="151">SUM(D324:D326)</f>
        <v>6295365.4386006137</v>
      </c>
      <c r="E327" s="184">
        <f t="shared" si="151"/>
        <v>2517011.6962321</v>
      </c>
      <c r="F327" s="200">
        <f t="shared" si="139"/>
        <v>0.39981979136569429</v>
      </c>
      <c r="G327" s="48"/>
      <c r="H327" s="184">
        <f>SUM(H325:H326)</f>
        <v>2.25</v>
      </c>
      <c r="I327" s="95">
        <f t="shared" ref="I327:J327" si="152">SUM(I325:I326)</f>
        <v>3569943</v>
      </c>
      <c r="J327" s="299">
        <f t="shared" si="152"/>
        <v>706188</v>
      </c>
      <c r="K327" s="191">
        <f t="shared" si="140"/>
        <v>0.19781492309541077</v>
      </c>
      <c r="L327" s="98">
        <f t="shared" ref="L327" si="153">+H327-C327</f>
        <v>-2</v>
      </c>
      <c r="M327" s="98">
        <f t="shared" ref="M327" si="154">+I327-D327</f>
        <v>-2725422.4386006137</v>
      </c>
      <c r="N327" s="300">
        <f t="shared" ref="N327" si="155">+J327-E327</f>
        <v>-1810823.6962321</v>
      </c>
      <c r="O327" s="4"/>
      <c r="P327" s="4"/>
      <c r="Q327" s="4"/>
    </row>
    <row r="328" spans="1:17" s="37" customFormat="1" x14ac:dyDescent="0.3">
      <c r="A328" s="5" t="s">
        <v>127</v>
      </c>
      <c r="B328" s="9" t="s">
        <v>250</v>
      </c>
      <c r="C328" s="237">
        <v>0.5</v>
      </c>
      <c r="D328" s="237">
        <v>404853.73813916231</v>
      </c>
      <c r="E328" s="237">
        <v>256284.6890310311</v>
      </c>
      <c r="F328" s="203">
        <f t="shared" si="139"/>
        <v>0.63303031413022826</v>
      </c>
      <c r="G328" s="48"/>
      <c r="H328" s="161"/>
      <c r="I328" s="49"/>
      <c r="J328" s="303"/>
      <c r="K328" s="242"/>
      <c r="L328" s="4"/>
      <c r="M328" s="4"/>
      <c r="N328" s="269"/>
      <c r="O328" s="4"/>
      <c r="P328" s="4"/>
      <c r="Q328" s="4"/>
    </row>
    <row r="329" spans="1:17" s="37" customFormat="1" x14ac:dyDescent="0.3">
      <c r="A329" s="5" t="s">
        <v>127</v>
      </c>
      <c r="B329" s="9" t="s">
        <v>280</v>
      </c>
      <c r="C329" s="237">
        <v>2.25</v>
      </c>
      <c r="D329" s="237">
        <v>2332332</v>
      </c>
      <c r="E329" s="237">
        <v>495744.56999999995</v>
      </c>
      <c r="F329" s="203">
        <f t="shared" si="139"/>
        <v>0.21255317424792008</v>
      </c>
      <c r="G329" s="48"/>
      <c r="H329" s="161"/>
      <c r="I329" s="49"/>
      <c r="J329" s="303"/>
      <c r="K329" s="242"/>
      <c r="L329" s="4"/>
      <c r="M329" s="4"/>
      <c r="N329" s="269"/>
      <c r="O329" s="4"/>
      <c r="P329" s="4"/>
      <c r="Q329" s="4"/>
    </row>
    <row r="330" spans="1:17" s="37" customFormat="1" x14ac:dyDescent="0.3">
      <c r="A330" s="5" t="s">
        <v>127</v>
      </c>
      <c r="B330" s="9" t="s">
        <v>281</v>
      </c>
      <c r="C330" s="237">
        <v>1</v>
      </c>
      <c r="D330" s="237">
        <v>1676064.8499999999</v>
      </c>
      <c r="E330" s="237">
        <v>371377.39087499987</v>
      </c>
      <c r="F330" s="203">
        <f t="shared" si="139"/>
        <v>0.22157698186618488</v>
      </c>
      <c r="G330" s="48"/>
      <c r="H330" s="161"/>
      <c r="I330" s="49"/>
      <c r="J330" s="303"/>
      <c r="K330" s="242"/>
      <c r="L330" s="4"/>
      <c r="M330" s="4"/>
      <c r="N330" s="269"/>
      <c r="O330" s="4"/>
      <c r="P330" s="4"/>
      <c r="Q330" s="4"/>
    </row>
    <row r="331" spans="1:17" s="37" customFormat="1" x14ac:dyDescent="0.3">
      <c r="A331" s="5" t="s">
        <v>127</v>
      </c>
      <c r="B331" s="9" t="s">
        <v>252</v>
      </c>
      <c r="C331" s="237">
        <v>1</v>
      </c>
      <c r="D331" s="237">
        <v>1969729.2249999996</v>
      </c>
      <c r="E331" s="237">
        <v>761518.27499999991</v>
      </c>
      <c r="F331" s="203">
        <f t="shared" si="139"/>
        <v>0.38661063933800344</v>
      </c>
      <c r="G331" s="48"/>
      <c r="H331" s="161"/>
      <c r="I331" s="49"/>
      <c r="J331" s="303"/>
      <c r="K331" s="242"/>
      <c r="L331" s="4"/>
      <c r="M331" s="4"/>
      <c r="N331" s="269"/>
      <c r="O331" s="4"/>
      <c r="P331" s="4"/>
      <c r="Q331" s="4"/>
    </row>
    <row r="332" spans="1:17" s="37" customFormat="1" x14ac:dyDescent="0.3">
      <c r="A332" s="5" t="s">
        <v>127</v>
      </c>
      <c r="B332" s="9" t="s">
        <v>253</v>
      </c>
      <c r="C332" s="237">
        <v>2.25</v>
      </c>
      <c r="D332" s="237">
        <v>6625241.2098434623</v>
      </c>
      <c r="E332" s="237">
        <v>2728270.4326219838</v>
      </c>
      <c r="F332" s="203">
        <f t="shared" si="139"/>
        <v>0.41179941170571299</v>
      </c>
      <c r="G332" s="48"/>
      <c r="H332" s="161"/>
      <c r="I332" s="49"/>
      <c r="J332" s="303"/>
      <c r="K332" s="242"/>
      <c r="L332" s="4"/>
      <c r="M332" s="4"/>
      <c r="N332" s="269"/>
      <c r="O332" s="4"/>
      <c r="P332" s="4"/>
      <c r="Q332" s="4"/>
    </row>
    <row r="333" spans="1:17" s="37" customFormat="1" x14ac:dyDescent="0.3">
      <c r="A333" s="5" t="s">
        <v>127</v>
      </c>
      <c r="B333" s="9" t="s">
        <v>306</v>
      </c>
      <c r="C333" s="237">
        <v>2.25</v>
      </c>
      <c r="D333" s="237">
        <v>2683314</v>
      </c>
      <c r="E333" s="237">
        <v>1019783.0150000001</v>
      </c>
      <c r="F333" s="203">
        <f t="shared" si="139"/>
        <v>0.38004609784766158</v>
      </c>
      <c r="G333" s="48"/>
      <c r="H333" s="161"/>
      <c r="I333" s="49"/>
      <c r="J333" s="303"/>
      <c r="K333" s="242"/>
      <c r="L333" s="4"/>
      <c r="M333" s="4"/>
      <c r="N333" s="269"/>
      <c r="O333" s="4"/>
      <c r="P333" s="4"/>
      <c r="Q333" s="4"/>
    </row>
    <row r="334" spans="1:17" s="37" customFormat="1" x14ac:dyDescent="0.3">
      <c r="A334" s="5" t="s">
        <v>127</v>
      </c>
      <c r="B334" s="9" t="s">
        <v>255</v>
      </c>
      <c r="C334" s="237">
        <v>0.1</v>
      </c>
      <c r="D334" s="237">
        <v>238202.30000000002</v>
      </c>
      <c r="E334" s="237">
        <v>132021.74825</v>
      </c>
      <c r="F334" s="203">
        <f t="shared" si="139"/>
        <v>0.55424212213735968</v>
      </c>
      <c r="G334" s="48"/>
      <c r="H334" s="161"/>
      <c r="I334" s="49"/>
      <c r="J334" s="303"/>
      <c r="K334" s="242"/>
      <c r="L334" s="4"/>
      <c r="M334" s="4"/>
      <c r="N334" s="269"/>
      <c r="O334" s="4"/>
      <c r="P334" s="4"/>
      <c r="Q334" s="4"/>
    </row>
    <row r="335" spans="1:17" s="37" customFormat="1" x14ac:dyDescent="0.3">
      <c r="A335" s="5" t="s">
        <v>127</v>
      </c>
      <c r="B335" s="9" t="s">
        <v>357</v>
      </c>
      <c r="C335" s="237">
        <v>0.2</v>
      </c>
      <c r="D335" s="237">
        <v>308766</v>
      </c>
      <c r="E335" s="237">
        <v>129581.92499999999</v>
      </c>
      <c r="F335" s="203">
        <f t="shared" si="139"/>
        <v>0.41967679407706804</v>
      </c>
      <c r="G335" s="48"/>
      <c r="H335" s="161"/>
      <c r="I335" s="49"/>
      <c r="J335" s="303"/>
      <c r="K335" s="242"/>
      <c r="L335" s="4"/>
      <c r="M335" s="4"/>
      <c r="N335" s="269"/>
      <c r="O335" s="4"/>
      <c r="P335" s="4"/>
      <c r="Q335" s="4"/>
    </row>
    <row r="336" spans="1:17" s="37" customFormat="1" x14ac:dyDescent="0.3">
      <c r="A336" s="5" t="s">
        <v>127</v>
      </c>
      <c r="B336" s="9" t="s">
        <v>256</v>
      </c>
      <c r="C336" s="237">
        <v>2.25</v>
      </c>
      <c r="D336" s="237">
        <v>6304718.5999999996</v>
      </c>
      <c r="E336" s="237">
        <v>3205711.031500001</v>
      </c>
      <c r="F336" s="203">
        <f t="shared" si="139"/>
        <v>0.50846219076296306</v>
      </c>
      <c r="G336" s="48"/>
      <c r="H336" s="161"/>
      <c r="I336" s="49"/>
      <c r="J336" s="303"/>
      <c r="K336" s="242"/>
      <c r="L336" s="4"/>
      <c r="M336" s="4"/>
      <c r="N336" s="269"/>
      <c r="O336" s="4"/>
      <c r="P336" s="4"/>
      <c r="Q336" s="4"/>
    </row>
    <row r="337" spans="1:17" s="37" customFormat="1" x14ac:dyDescent="0.3">
      <c r="A337" s="4" t="s">
        <v>259</v>
      </c>
      <c r="B337" s="4"/>
      <c r="C337" s="22">
        <v>11.8</v>
      </c>
      <c r="D337" s="22">
        <v>22543221.922982626</v>
      </c>
      <c r="E337" s="22">
        <v>9100293.0772780161</v>
      </c>
      <c r="F337" s="200">
        <f t="shared" si="139"/>
        <v>0.40368200731770038</v>
      </c>
      <c r="G337" s="48"/>
      <c r="H337" s="184">
        <f>SUM(H328:H336)</f>
        <v>0</v>
      </c>
      <c r="I337" s="95">
        <f t="shared" ref="I337:J337" si="156">SUM(I328:I336)</f>
        <v>0</v>
      </c>
      <c r="J337" s="299">
        <f t="shared" si="156"/>
        <v>0</v>
      </c>
      <c r="K337" s="191"/>
      <c r="L337" s="4"/>
      <c r="M337" s="4"/>
      <c r="N337" s="269"/>
      <c r="O337" s="4"/>
      <c r="P337" s="4"/>
      <c r="Q337" s="4"/>
    </row>
    <row r="338" spans="1:17" s="37" customFormat="1" x14ac:dyDescent="0.3">
      <c r="A338" s="4"/>
      <c r="B338" s="4"/>
      <c r="C338" s="22"/>
      <c r="D338" s="22"/>
      <c r="E338" s="22"/>
      <c r="F338" s="200"/>
      <c r="G338" s="48"/>
      <c r="H338" s="184"/>
      <c r="I338" s="95"/>
      <c r="J338" s="299"/>
      <c r="K338" s="191"/>
      <c r="L338" s="4"/>
      <c r="M338" s="4"/>
      <c r="N338" s="269"/>
      <c r="O338" s="4"/>
      <c r="P338" s="4"/>
      <c r="Q338" s="4"/>
    </row>
    <row r="339" spans="1:17" s="37" customFormat="1" x14ac:dyDescent="0.3">
      <c r="A339" s="4" t="s">
        <v>261</v>
      </c>
      <c r="B339" s="4"/>
      <c r="C339" s="184">
        <f>+C327+C323+C316</f>
        <v>33.35</v>
      </c>
      <c r="D339" s="184">
        <f t="shared" ref="D339:E339" si="157">+D327+D323+D316</f>
        <v>62612392.998420015</v>
      </c>
      <c r="E339" s="184">
        <f t="shared" si="157"/>
        <v>30467683.811740827</v>
      </c>
      <c r="F339" s="200">
        <f t="shared" si="139"/>
        <v>0.48660787988904464</v>
      </c>
      <c r="G339" s="48"/>
      <c r="H339" s="184">
        <f>+H327+H323+H316</f>
        <v>28</v>
      </c>
      <c r="I339" s="95">
        <f t="shared" ref="I339" si="158">+I327+I323+I316</f>
        <v>59697368.030000001</v>
      </c>
      <c r="J339" s="299">
        <f>+J327+J323+J316</f>
        <v>19161769.799999997</v>
      </c>
      <c r="K339" s="191">
        <f t="shared" si="140"/>
        <v>0.32098181933867742</v>
      </c>
      <c r="L339" s="98">
        <f t="shared" ref="L339:L341" si="159">+H339-C339</f>
        <v>-5.3500000000000014</v>
      </c>
      <c r="M339" s="98">
        <f t="shared" ref="M339:M341" si="160">+I339-D339</f>
        <v>-2915024.9684200138</v>
      </c>
      <c r="N339" s="300">
        <f t="shared" ref="N339:N341" si="161">+J339-E339</f>
        <v>-11305914.01174083</v>
      </c>
      <c r="O339" s="4"/>
      <c r="P339" s="4"/>
      <c r="Q339" s="4"/>
    </row>
    <row r="340" spans="1:17" s="37" customFormat="1" x14ac:dyDescent="0.3">
      <c r="A340" s="4" t="s">
        <v>260</v>
      </c>
      <c r="B340" s="4"/>
      <c r="C340" s="184">
        <f>+C337</f>
        <v>11.8</v>
      </c>
      <c r="D340" s="184">
        <f>+D337</f>
        <v>22543221.922982626</v>
      </c>
      <c r="E340" s="184">
        <f>+E337</f>
        <v>9100293.0772780161</v>
      </c>
      <c r="F340" s="200">
        <f t="shared" si="139"/>
        <v>0.40368200731770038</v>
      </c>
      <c r="G340" s="48"/>
      <c r="H340" s="184">
        <f>+H337</f>
        <v>0</v>
      </c>
      <c r="I340" s="95">
        <f t="shared" ref="I340:J340" si="162">+I337</f>
        <v>0</v>
      </c>
      <c r="J340" s="299">
        <f t="shared" si="162"/>
        <v>0</v>
      </c>
      <c r="K340" s="191"/>
      <c r="L340" s="98">
        <f t="shared" si="159"/>
        <v>-11.8</v>
      </c>
      <c r="M340" s="98">
        <f t="shared" si="160"/>
        <v>-22543221.922982626</v>
      </c>
      <c r="N340" s="300">
        <f t="shared" si="161"/>
        <v>-9100293.0772780161</v>
      </c>
      <c r="O340" s="4"/>
      <c r="P340" s="4"/>
      <c r="Q340" s="4"/>
    </row>
    <row r="341" spans="1:17" s="37" customFormat="1" x14ac:dyDescent="0.3">
      <c r="A341" s="4" t="s">
        <v>262</v>
      </c>
      <c r="B341" s="4"/>
      <c r="C341" s="22">
        <f>+C339+C340</f>
        <v>45.150000000000006</v>
      </c>
      <c r="D341" s="22">
        <f t="shared" ref="D341:E341" si="163">+D339+D340</f>
        <v>85155614.921402633</v>
      </c>
      <c r="E341" s="22">
        <f t="shared" si="163"/>
        <v>39567976.889018841</v>
      </c>
      <c r="F341" s="200">
        <f t="shared" si="139"/>
        <v>0.46465493702957222</v>
      </c>
      <c r="G341" s="48"/>
      <c r="H341" s="22">
        <f>+H339+H340</f>
        <v>28</v>
      </c>
      <c r="I341" s="22">
        <f t="shared" ref="I341:J341" si="164">+I339+I340</f>
        <v>59697368.030000001</v>
      </c>
      <c r="J341" s="22">
        <f t="shared" si="164"/>
        <v>19161769.799999997</v>
      </c>
      <c r="K341" s="191">
        <f t="shared" si="140"/>
        <v>0.32098181933867742</v>
      </c>
      <c r="L341" s="98">
        <f t="shared" si="159"/>
        <v>-17.150000000000006</v>
      </c>
      <c r="M341" s="98">
        <f t="shared" si="160"/>
        <v>-25458246.891402632</v>
      </c>
      <c r="N341" s="300">
        <f t="shared" si="161"/>
        <v>-20406207.089018844</v>
      </c>
      <c r="O341" s="4"/>
      <c r="P341" s="4"/>
      <c r="Q341" s="4"/>
    </row>
    <row r="342" spans="1:17" x14ac:dyDescent="0.3">
      <c r="A342" s="3"/>
      <c r="B342" s="3"/>
      <c r="C342" s="23"/>
      <c r="D342" s="23"/>
      <c r="E342" s="23"/>
      <c r="F342" s="204"/>
      <c r="G342" s="362"/>
      <c r="H342" s="151"/>
      <c r="I342" s="3"/>
      <c r="J342" s="3"/>
      <c r="K342" s="3"/>
      <c r="L342" s="3"/>
      <c r="M342" s="3"/>
      <c r="N342" s="3"/>
      <c r="O342" s="5"/>
      <c r="P342" s="5"/>
      <c r="Q342" s="5"/>
    </row>
    <row r="343" spans="1:17" x14ac:dyDescent="0.3">
      <c r="A343" s="3"/>
      <c r="B343" s="3"/>
      <c r="C343" s="23"/>
      <c r="D343" s="23"/>
      <c r="E343" s="23"/>
      <c r="F343" s="204"/>
      <c r="G343" s="362"/>
      <c r="H343" s="151"/>
      <c r="I343" s="3"/>
      <c r="J343" s="3"/>
      <c r="K343" s="3"/>
      <c r="L343" s="3"/>
      <c r="M343" s="3"/>
      <c r="N343" s="3"/>
      <c r="O343" s="5"/>
      <c r="P343" s="5"/>
      <c r="Q343" s="5"/>
    </row>
    <row r="344" spans="1:17" x14ac:dyDescent="0.3">
      <c r="A344" s="4" t="s">
        <v>226</v>
      </c>
      <c r="B344" s="4" t="s">
        <v>362</v>
      </c>
      <c r="C344" s="338" t="s">
        <v>228</v>
      </c>
      <c r="D344" s="338"/>
      <c r="E344" s="338"/>
      <c r="F344" s="338"/>
      <c r="G344" s="338"/>
      <c r="H344" s="336" t="s">
        <v>229</v>
      </c>
      <c r="I344" s="336"/>
      <c r="J344" s="336"/>
      <c r="K344" s="91"/>
      <c r="L344" s="336" t="s">
        <v>394</v>
      </c>
      <c r="M344" s="336"/>
      <c r="N344" s="339"/>
      <c r="O344" s="5"/>
      <c r="P344" s="5"/>
      <c r="Q344" s="5"/>
    </row>
    <row r="345" spans="1:17" x14ac:dyDescent="0.3">
      <c r="A345" s="5"/>
      <c r="B345" s="5"/>
      <c r="C345" s="6"/>
      <c r="D345" s="6"/>
      <c r="E345" s="6"/>
      <c r="F345" s="199"/>
      <c r="G345" s="7"/>
      <c r="H345" s="66"/>
      <c r="I345" s="5"/>
      <c r="J345" s="40"/>
      <c r="K345" s="91"/>
      <c r="L345" s="5"/>
      <c r="M345" s="5"/>
      <c r="N345" s="40"/>
      <c r="O345" s="5"/>
      <c r="P345" s="5"/>
      <c r="Q345" s="5"/>
    </row>
    <row r="346" spans="1:17" x14ac:dyDescent="0.3">
      <c r="A346" s="5" t="s">
        <v>230</v>
      </c>
      <c r="B346" s="5" t="s">
        <v>231</v>
      </c>
      <c r="C346" s="6" t="s">
        <v>232</v>
      </c>
      <c r="D346" s="6" t="s">
        <v>233</v>
      </c>
      <c r="E346" s="6" t="s">
        <v>234</v>
      </c>
      <c r="F346" s="231" t="s">
        <v>396</v>
      </c>
      <c r="G346" s="8"/>
      <c r="H346" s="141" t="s">
        <v>232</v>
      </c>
      <c r="I346" s="6" t="s">
        <v>233</v>
      </c>
      <c r="J346" s="252" t="s">
        <v>234</v>
      </c>
      <c r="K346" s="231" t="s">
        <v>396</v>
      </c>
      <c r="L346" s="6" t="s">
        <v>232</v>
      </c>
      <c r="M346" s="6" t="s">
        <v>233</v>
      </c>
      <c r="N346" s="252" t="s">
        <v>234</v>
      </c>
      <c r="O346" s="5"/>
      <c r="P346" s="5"/>
      <c r="Q346" s="5"/>
    </row>
    <row r="347" spans="1:17" x14ac:dyDescent="0.3">
      <c r="A347" s="5" t="s">
        <v>130</v>
      </c>
      <c r="B347" s="9" t="s">
        <v>363</v>
      </c>
      <c r="C347" s="10">
        <v>0.1</v>
      </c>
      <c r="D347" s="10">
        <v>108000</v>
      </c>
      <c r="E347" s="10">
        <v>77849.999999999985</v>
      </c>
      <c r="F347" s="197">
        <f t="shared" ref="F347:F377" si="165">+E347/D347</f>
        <v>0.72083333333333321</v>
      </c>
      <c r="G347" s="7"/>
      <c r="H347" s="142"/>
      <c r="I347" s="9"/>
      <c r="J347" s="253"/>
      <c r="K347" s="197" t="e">
        <f t="shared" ref="K347:K377" si="166">+J347/I347</f>
        <v>#DIV/0!</v>
      </c>
      <c r="L347" s="5"/>
      <c r="M347" s="5"/>
      <c r="N347" s="40"/>
      <c r="O347" s="5"/>
      <c r="P347" s="5"/>
      <c r="Q347" s="5"/>
    </row>
    <row r="348" spans="1:17" x14ac:dyDescent="0.3">
      <c r="A348" s="5" t="s">
        <v>130</v>
      </c>
      <c r="B348" s="9" t="s">
        <v>264</v>
      </c>
      <c r="C348" s="10">
        <v>2.25</v>
      </c>
      <c r="D348" s="10">
        <v>5268821.3600000003</v>
      </c>
      <c r="E348" s="10">
        <v>1894340.8794000004</v>
      </c>
      <c r="F348" s="197">
        <f t="shared" si="165"/>
        <v>0.35953788332652831</v>
      </c>
      <c r="G348" s="7"/>
      <c r="H348" s="142"/>
      <c r="I348" s="9"/>
      <c r="J348" s="253"/>
      <c r="K348" s="312" t="e">
        <f t="shared" si="166"/>
        <v>#DIV/0!</v>
      </c>
      <c r="L348" s="5"/>
      <c r="M348" s="5"/>
      <c r="N348" s="40"/>
      <c r="O348" s="5"/>
      <c r="P348" s="5"/>
      <c r="Q348" s="5"/>
    </row>
    <row r="349" spans="1:17" x14ac:dyDescent="0.3">
      <c r="A349" s="5" t="s">
        <v>130</v>
      </c>
      <c r="B349" s="9" t="s">
        <v>265</v>
      </c>
      <c r="C349" s="10">
        <v>0.5</v>
      </c>
      <c r="D349" s="10">
        <v>724887</v>
      </c>
      <c r="E349" s="10">
        <v>291719.54250000004</v>
      </c>
      <c r="F349" s="197">
        <f t="shared" si="165"/>
        <v>0.40243450703351008</v>
      </c>
      <c r="G349" s="7"/>
      <c r="H349" s="142"/>
      <c r="I349" s="9"/>
      <c r="J349" s="253"/>
      <c r="K349" s="312" t="e">
        <f t="shared" si="166"/>
        <v>#DIV/0!</v>
      </c>
      <c r="L349" s="5"/>
      <c r="M349" s="5"/>
      <c r="N349" s="40"/>
      <c r="O349" s="5"/>
      <c r="P349" s="5"/>
      <c r="Q349" s="5"/>
    </row>
    <row r="350" spans="1:17" x14ac:dyDescent="0.3">
      <c r="A350" s="5" t="s">
        <v>130</v>
      </c>
      <c r="B350" s="9" t="s">
        <v>237</v>
      </c>
      <c r="C350" s="10">
        <v>6.75</v>
      </c>
      <c r="D350" s="10">
        <v>11818533.857999999</v>
      </c>
      <c r="E350" s="10">
        <v>4593905.0461949995</v>
      </c>
      <c r="F350" s="197">
        <f t="shared" si="165"/>
        <v>0.38870346367755015</v>
      </c>
      <c r="G350" s="7"/>
      <c r="H350" s="142"/>
      <c r="I350" s="9"/>
      <c r="J350" s="253"/>
      <c r="K350" s="312" t="e">
        <f t="shared" si="166"/>
        <v>#DIV/0!</v>
      </c>
      <c r="L350" s="5"/>
      <c r="M350" s="5"/>
      <c r="N350" s="40"/>
      <c r="O350" s="5"/>
      <c r="P350" s="5"/>
      <c r="Q350" s="5"/>
    </row>
    <row r="351" spans="1:17" x14ac:dyDescent="0.3">
      <c r="A351" s="5" t="s">
        <v>130</v>
      </c>
      <c r="B351" s="9" t="s">
        <v>287</v>
      </c>
      <c r="C351" s="10">
        <v>0.2</v>
      </c>
      <c r="D351" s="10">
        <v>860000</v>
      </c>
      <c r="E351" s="10">
        <v>483050</v>
      </c>
      <c r="F351" s="197">
        <f t="shared" si="165"/>
        <v>0.5616860465116279</v>
      </c>
      <c r="G351" s="7"/>
      <c r="H351" s="142"/>
      <c r="I351" s="9"/>
      <c r="J351" s="253"/>
      <c r="K351" s="312" t="e">
        <f t="shared" si="166"/>
        <v>#DIV/0!</v>
      </c>
      <c r="L351" s="5"/>
      <c r="M351" s="5"/>
      <c r="N351" s="40"/>
      <c r="O351" s="5"/>
      <c r="P351" s="5"/>
      <c r="Q351" s="5"/>
    </row>
    <row r="352" spans="1:17" x14ac:dyDescent="0.3">
      <c r="A352" s="5" t="s">
        <v>130</v>
      </c>
      <c r="B352" s="9" t="s">
        <v>266</v>
      </c>
      <c r="C352" s="10">
        <v>0.1</v>
      </c>
      <c r="D352" s="10">
        <v>425000</v>
      </c>
      <c r="E352" s="10">
        <v>299937.49999999994</v>
      </c>
      <c r="F352" s="197">
        <f t="shared" si="165"/>
        <v>0.70573529411764691</v>
      </c>
      <c r="G352" s="7"/>
      <c r="H352" s="142"/>
      <c r="I352" s="9"/>
      <c r="J352" s="253"/>
      <c r="K352" s="312" t="e">
        <f t="shared" si="166"/>
        <v>#DIV/0!</v>
      </c>
      <c r="L352" s="5"/>
      <c r="M352" s="5"/>
      <c r="N352" s="40"/>
      <c r="O352" s="5"/>
      <c r="P352" s="5"/>
      <c r="Q352" s="5"/>
    </row>
    <row r="353" spans="1:17" x14ac:dyDescent="0.3">
      <c r="A353" s="5" t="s">
        <v>130</v>
      </c>
      <c r="B353" s="9" t="s">
        <v>238</v>
      </c>
      <c r="C353" s="10">
        <v>2.2000000000000002</v>
      </c>
      <c r="D353" s="10">
        <v>4207639.6825399995</v>
      </c>
      <c r="E353" s="10">
        <v>1964677.1596828501</v>
      </c>
      <c r="F353" s="197">
        <f t="shared" si="165"/>
        <v>0.46693094179034972</v>
      </c>
      <c r="G353" s="7"/>
      <c r="H353" s="142"/>
      <c r="I353" s="9"/>
      <c r="J353" s="253"/>
      <c r="K353" s="312" t="e">
        <f t="shared" si="166"/>
        <v>#DIV/0!</v>
      </c>
      <c r="L353" s="5"/>
      <c r="M353" s="5"/>
      <c r="N353" s="40"/>
      <c r="O353" s="5"/>
      <c r="P353" s="5"/>
      <c r="Q353" s="5"/>
    </row>
    <row r="354" spans="1:17" s="37" customFormat="1" x14ac:dyDescent="0.3">
      <c r="A354" s="4" t="s">
        <v>241</v>
      </c>
      <c r="B354" s="4"/>
      <c r="C354" s="13">
        <f>SUM(C347:C353)</f>
        <v>12.099999999999998</v>
      </c>
      <c r="D354" s="13">
        <f t="shared" ref="D354:J354" si="167">SUM(D347:D353)</f>
        <v>23412881.900539998</v>
      </c>
      <c r="E354" s="13">
        <f t="shared" si="167"/>
        <v>9605480.1277778503</v>
      </c>
      <c r="F354" s="13">
        <f t="shared" si="167"/>
        <v>3.6058614697905464</v>
      </c>
      <c r="G354" s="7"/>
      <c r="H354" s="13">
        <f t="shared" si="167"/>
        <v>0</v>
      </c>
      <c r="I354" s="13">
        <f t="shared" si="167"/>
        <v>0</v>
      </c>
      <c r="J354" s="13">
        <f t="shared" si="167"/>
        <v>0</v>
      </c>
      <c r="K354" s="93" t="e">
        <f t="shared" si="166"/>
        <v>#DIV/0!</v>
      </c>
      <c r="L354" s="98">
        <f t="shared" ref="L354" si="168">+H354-C354</f>
        <v>-12.099999999999998</v>
      </c>
      <c r="M354" s="98">
        <f t="shared" ref="M354" si="169">+I354-D354</f>
        <v>-23412881.900539998</v>
      </c>
      <c r="N354" s="300">
        <f t="shared" ref="N354" si="170">+J354-E354</f>
        <v>-9605480.1277778503</v>
      </c>
      <c r="O354" s="4"/>
      <c r="P354" s="4"/>
      <c r="Q354" s="4"/>
    </row>
    <row r="355" spans="1:17" x14ac:dyDescent="0.3">
      <c r="A355" s="5" t="s">
        <v>137</v>
      </c>
      <c r="B355" s="9" t="s">
        <v>290</v>
      </c>
      <c r="C355" s="10">
        <v>2.25</v>
      </c>
      <c r="D355" s="10">
        <v>3298652.12</v>
      </c>
      <c r="E355" s="10">
        <v>1186698.4472999999</v>
      </c>
      <c r="F355" s="197">
        <f t="shared" si="165"/>
        <v>0.35975253046689865</v>
      </c>
      <c r="G355" s="7"/>
      <c r="H355" s="142"/>
      <c r="I355" s="9"/>
      <c r="J355" s="253"/>
      <c r="K355" s="312" t="e">
        <f t="shared" si="166"/>
        <v>#DIV/0!</v>
      </c>
      <c r="L355" s="5"/>
      <c r="M355" s="5"/>
      <c r="N355" s="40"/>
      <c r="O355" s="5"/>
      <c r="P355" s="5"/>
      <c r="Q355" s="5"/>
    </row>
    <row r="356" spans="1:17" x14ac:dyDescent="0.3">
      <c r="A356" s="5" t="s">
        <v>137</v>
      </c>
      <c r="B356" s="9" t="s">
        <v>242</v>
      </c>
      <c r="C356" s="10">
        <v>4.5</v>
      </c>
      <c r="D356" s="10">
        <v>8940038.7677999996</v>
      </c>
      <c r="E356" s="10">
        <v>4039815.5955244997</v>
      </c>
      <c r="F356" s="197">
        <f t="shared" si="165"/>
        <v>0.45187897954928374</v>
      </c>
      <c r="G356" s="7"/>
      <c r="H356" s="142"/>
      <c r="I356" s="9"/>
      <c r="J356" s="253"/>
      <c r="K356" s="312" t="e">
        <f t="shared" si="166"/>
        <v>#DIV/0!</v>
      </c>
      <c r="L356" s="5"/>
      <c r="M356" s="5"/>
      <c r="N356" s="40"/>
      <c r="O356" s="5"/>
      <c r="P356" s="5"/>
      <c r="Q356" s="5"/>
    </row>
    <row r="357" spans="1:17" x14ac:dyDescent="0.3">
      <c r="A357" s="5" t="s">
        <v>137</v>
      </c>
      <c r="B357" s="9" t="s">
        <v>360</v>
      </c>
      <c r="C357" s="10">
        <v>9</v>
      </c>
      <c r="D357" s="10">
        <v>14134089.17</v>
      </c>
      <c r="E357" s="10">
        <v>5870028.1136749992</v>
      </c>
      <c r="F357" s="197">
        <f t="shared" si="165"/>
        <v>0.41530996748869381</v>
      </c>
      <c r="G357" s="7"/>
      <c r="H357" s="142"/>
      <c r="I357" s="9"/>
      <c r="J357" s="253"/>
      <c r="K357" s="312" t="e">
        <f t="shared" si="166"/>
        <v>#DIV/0!</v>
      </c>
      <c r="L357" s="5"/>
      <c r="M357" s="5"/>
      <c r="N357" s="40"/>
      <c r="O357" s="5"/>
      <c r="P357" s="5"/>
      <c r="Q357" s="5"/>
    </row>
    <row r="358" spans="1:17" x14ac:dyDescent="0.3">
      <c r="A358" s="5" t="s">
        <v>137</v>
      </c>
      <c r="B358" s="9" t="s">
        <v>364</v>
      </c>
      <c r="C358" s="10">
        <v>0.7</v>
      </c>
      <c r="D358" s="10">
        <v>1988218.6800000002</v>
      </c>
      <c r="E358" s="10">
        <v>781042.31969999988</v>
      </c>
      <c r="F358" s="197">
        <f t="shared" si="165"/>
        <v>0.39283521855855402</v>
      </c>
      <c r="G358" s="7"/>
      <c r="H358" s="142"/>
      <c r="I358" s="9"/>
      <c r="J358" s="253"/>
      <c r="K358" s="312" t="e">
        <f t="shared" si="166"/>
        <v>#DIV/0!</v>
      </c>
      <c r="L358" s="5"/>
      <c r="M358" s="5"/>
      <c r="N358" s="40"/>
      <c r="O358" s="5"/>
      <c r="P358" s="5"/>
      <c r="Q358" s="5"/>
    </row>
    <row r="359" spans="1:17" x14ac:dyDescent="0.3">
      <c r="A359" s="5" t="s">
        <v>137</v>
      </c>
      <c r="B359" s="9" t="s">
        <v>272</v>
      </c>
      <c r="C359" s="10">
        <v>2.25</v>
      </c>
      <c r="D359" s="10">
        <v>2796417.6349999998</v>
      </c>
      <c r="E359" s="10">
        <v>939151.27821250004</v>
      </c>
      <c r="F359" s="197">
        <f t="shared" si="165"/>
        <v>0.33584085097235489</v>
      </c>
      <c r="G359" s="7"/>
      <c r="H359" s="142"/>
      <c r="I359" s="9"/>
      <c r="J359" s="253"/>
      <c r="K359" s="312" t="e">
        <f t="shared" si="166"/>
        <v>#DIV/0!</v>
      </c>
      <c r="L359" s="5"/>
      <c r="M359" s="5"/>
      <c r="N359" s="40"/>
      <c r="O359" s="5"/>
      <c r="P359" s="5"/>
      <c r="Q359" s="5"/>
    </row>
    <row r="360" spans="1:17" x14ac:dyDescent="0.3">
      <c r="A360" s="5" t="s">
        <v>137</v>
      </c>
      <c r="B360" s="9" t="s">
        <v>273</v>
      </c>
      <c r="C360" s="10">
        <v>1</v>
      </c>
      <c r="D360" s="10">
        <v>3905335.1999999988</v>
      </c>
      <c r="E360" s="10">
        <v>2016149.4080000003</v>
      </c>
      <c r="F360" s="197">
        <f t="shared" si="165"/>
        <v>0.51625514962198404</v>
      </c>
      <c r="G360" s="7"/>
      <c r="H360" s="142"/>
      <c r="I360" s="9"/>
      <c r="J360" s="253"/>
      <c r="K360" s="312" t="e">
        <f t="shared" si="166"/>
        <v>#DIV/0!</v>
      </c>
      <c r="L360" s="5"/>
      <c r="M360" s="5"/>
      <c r="N360" s="40"/>
      <c r="O360" s="5"/>
      <c r="P360" s="5"/>
      <c r="Q360" s="5"/>
    </row>
    <row r="361" spans="1:17" x14ac:dyDescent="0.3">
      <c r="A361" s="5" t="s">
        <v>137</v>
      </c>
      <c r="B361" s="16" t="s">
        <v>330</v>
      </c>
      <c r="C361" s="17"/>
      <c r="D361" s="17"/>
      <c r="E361" s="17"/>
      <c r="F361" s="201" t="e">
        <f t="shared" si="165"/>
        <v>#DIV/0!</v>
      </c>
      <c r="G361" s="7"/>
      <c r="H361" s="171"/>
      <c r="I361" s="44"/>
      <c r="J361" s="264"/>
      <c r="K361" s="318" t="e">
        <f t="shared" si="166"/>
        <v>#DIV/0!</v>
      </c>
      <c r="L361" s="5"/>
      <c r="M361" s="5"/>
      <c r="N361" s="40"/>
      <c r="O361" s="5"/>
      <c r="P361" s="5"/>
      <c r="Q361" s="5"/>
    </row>
    <row r="362" spans="1:17" s="37" customFormat="1" x14ac:dyDescent="0.3">
      <c r="A362" s="4" t="s">
        <v>245</v>
      </c>
      <c r="B362" s="4"/>
      <c r="C362" s="13">
        <f>SUM(C355:C361)</f>
        <v>19.7</v>
      </c>
      <c r="D362" s="13">
        <f t="shared" ref="D362:J362" si="171">SUM(D355:D361)</f>
        <v>35062751.572799996</v>
      </c>
      <c r="E362" s="13">
        <f t="shared" si="171"/>
        <v>14832885.162411997</v>
      </c>
      <c r="F362" s="13" t="e">
        <f t="shared" si="171"/>
        <v>#DIV/0!</v>
      </c>
      <c r="G362" s="7"/>
      <c r="H362" s="13">
        <f t="shared" si="171"/>
        <v>0</v>
      </c>
      <c r="I362" s="13">
        <f t="shared" si="171"/>
        <v>0</v>
      </c>
      <c r="J362" s="13">
        <f t="shared" si="171"/>
        <v>0</v>
      </c>
      <c r="K362" s="93" t="e">
        <f t="shared" si="166"/>
        <v>#DIV/0!</v>
      </c>
      <c r="L362" s="98">
        <f t="shared" ref="L362" si="172">+H362-C362</f>
        <v>-19.7</v>
      </c>
      <c r="M362" s="98">
        <f t="shared" ref="M362" si="173">+I362-D362</f>
        <v>-35062751.572799996</v>
      </c>
      <c r="N362" s="300">
        <f t="shared" ref="N362" si="174">+J362-E362</f>
        <v>-14832885.162411997</v>
      </c>
      <c r="O362" s="4"/>
      <c r="P362" s="4"/>
      <c r="Q362" s="4"/>
    </row>
    <row r="363" spans="1:17" x14ac:dyDescent="0.3">
      <c r="A363" s="5" t="s">
        <v>115</v>
      </c>
      <c r="B363" s="9" t="s">
        <v>365</v>
      </c>
      <c r="C363" s="10">
        <v>2.25</v>
      </c>
      <c r="D363" s="10">
        <v>3711729</v>
      </c>
      <c r="E363" s="10">
        <v>1421514.0974999997</v>
      </c>
      <c r="F363" s="197">
        <f t="shared" si="165"/>
        <v>0.38297895603369742</v>
      </c>
      <c r="G363" s="7"/>
      <c r="H363" s="142"/>
      <c r="I363" s="9"/>
      <c r="J363" s="253"/>
      <c r="K363" s="312" t="e">
        <f t="shared" si="166"/>
        <v>#DIV/0!</v>
      </c>
      <c r="L363" s="5"/>
      <c r="M363" s="5"/>
      <c r="N363" s="40"/>
      <c r="O363" s="5"/>
      <c r="P363" s="5"/>
      <c r="Q363" s="5"/>
    </row>
    <row r="364" spans="1:17" x14ac:dyDescent="0.3">
      <c r="A364" s="5" t="s">
        <v>115</v>
      </c>
      <c r="B364" s="9" t="s">
        <v>366</v>
      </c>
      <c r="C364" s="10">
        <v>1</v>
      </c>
      <c r="D364" s="10">
        <v>2237981.9999999995</v>
      </c>
      <c r="E364" s="10">
        <v>1056747.4049999998</v>
      </c>
      <c r="F364" s="197">
        <f t="shared" si="165"/>
        <v>0.47218762483344373</v>
      </c>
      <c r="G364" s="7"/>
      <c r="H364" s="142"/>
      <c r="I364" s="9"/>
      <c r="J364" s="253"/>
      <c r="K364" s="312" t="e">
        <f t="shared" si="166"/>
        <v>#DIV/0!</v>
      </c>
      <c r="L364" s="5"/>
      <c r="M364" s="5"/>
      <c r="N364" s="40"/>
      <c r="O364" s="5"/>
      <c r="P364" s="5"/>
      <c r="Q364" s="5"/>
    </row>
    <row r="365" spans="1:17" s="37" customFormat="1" x14ac:dyDescent="0.3">
      <c r="A365" s="4" t="s">
        <v>249</v>
      </c>
      <c r="B365" s="4"/>
      <c r="C365" s="13">
        <f>SUM(C363:C364)</f>
        <v>3.25</v>
      </c>
      <c r="D365" s="13">
        <f t="shared" ref="D365:J365" si="175">SUM(D363:D364)</f>
        <v>5949711</v>
      </c>
      <c r="E365" s="13">
        <f t="shared" si="175"/>
        <v>2478261.5024999995</v>
      </c>
      <c r="F365" s="13">
        <f t="shared" si="175"/>
        <v>0.85516658086714115</v>
      </c>
      <c r="G365" s="7"/>
      <c r="H365" s="13">
        <f t="shared" si="175"/>
        <v>0</v>
      </c>
      <c r="I365" s="13">
        <f t="shared" si="175"/>
        <v>0</v>
      </c>
      <c r="J365" s="13">
        <f t="shared" si="175"/>
        <v>0</v>
      </c>
      <c r="K365" s="93" t="e">
        <f t="shared" si="166"/>
        <v>#DIV/0!</v>
      </c>
      <c r="L365" s="98">
        <f t="shared" ref="L365" si="176">+H365-C365</f>
        <v>-3.25</v>
      </c>
      <c r="M365" s="98">
        <f t="shared" ref="M365" si="177">+I365-D365</f>
        <v>-5949711</v>
      </c>
      <c r="N365" s="300">
        <f t="shared" ref="N365" si="178">+J365-E365</f>
        <v>-2478261.5024999995</v>
      </c>
      <c r="O365" s="4"/>
      <c r="P365" s="4"/>
      <c r="Q365" s="4"/>
    </row>
    <row r="366" spans="1:17" s="37" customFormat="1" x14ac:dyDescent="0.3">
      <c r="A366" s="5" t="s">
        <v>127</v>
      </c>
      <c r="B366" s="9" t="s">
        <v>250</v>
      </c>
      <c r="C366" s="20">
        <v>0.25</v>
      </c>
      <c r="D366" s="20">
        <v>482317.19999999995</v>
      </c>
      <c r="E366" s="20">
        <v>247569.26299999995</v>
      </c>
      <c r="F366" s="203">
        <f t="shared" si="165"/>
        <v>0.5132913837615577</v>
      </c>
      <c r="G366" s="7"/>
      <c r="H366" s="172"/>
      <c r="I366" s="50"/>
      <c r="J366" s="267"/>
      <c r="K366" s="311" t="e">
        <f t="shared" si="166"/>
        <v>#DIV/0!</v>
      </c>
      <c r="L366" s="4"/>
      <c r="M366" s="4"/>
      <c r="N366" s="269"/>
      <c r="O366" s="4"/>
      <c r="P366" s="4"/>
      <c r="Q366" s="4"/>
    </row>
    <row r="367" spans="1:17" s="37" customFormat="1" x14ac:dyDescent="0.3">
      <c r="A367" s="5" t="s">
        <v>127</v>
      </c>
      <c r="B367" s="9" t="s">
        <v>252</v>
      </c>
      <c r="C367" s="20">
        <v>2</v>
      </c>
      <c r="D367" s="20">
        <v>7075652.4499999993</v>
      </c>
      <c r="E367" s="20">
        <v>2772906.55</v>
      </c>
      <c r="F367" s="203">
        <f t="shared" si="165"/>
        <v>0.39189411430178428</v>
      </c>
      <c r="G367" s="7"/>
      <c r="H367" s="172"/>
      <c r="I367" s="50"/>
      <c r="J367" s="267"/>
      <c r="K367" s="311" t="e">
        <f t="shared" si="166"/>
        <v>#DIV/0!</v>
      </c>
      <c r="L367" s="4"/>
      <c r="M367" s="4"/>
      <c r="N367" s="269"/>
      <c r="O367" s="4"/>
      <c r="P367" s="4"/>
      <c r="Q367" s="4"/>
    </row>
    <row r="368" spans="1:17" s="37" customFormat="1" x14ac:dyDescent="0.3">
      <c r="A368" s="5" t="s">
        <v>127</v>
      </c>
      <c r="B368" s="9" t="s">
        <v>356</v>
      </c>
      <c r="C368" s="20">
        <v>2.25</v>
      </c>
      <c r="D368" s="20">
        <v>5964807</v>
      </c>
      <c r="E368" s="20">
        <v>2305647.8425000003</v>
      </c>
      <c r="F368" s="203">
        <f t="shared" si="165"/>
        <v>0.38654190194251048</v>
      </c>
      <c r="G368" s="7"/>
      <c r="H368" s="172"/>
      <c r="I368" s="50"/>
      <c r="J368" s="267"/>
      <c r="K368" s="311" t="e">
        <f t="shared" si="166"/>
        <v>#DIV/0!</v>
      </c>
      <c r="L368" s="4"/>
      <c r="M368" s="4"/>
      <c r="N368" s="269"/>
      <c r="O368" s="4"/>
      <c r="P368" s="4"/>
      <c r="Q368" s="4"/>
    </row>
    <row r="369" spans="1:17" s="37" customFormat="1" x14ac:dyDescent="0.3">
      <c r="A369" s="5" t="s">
        <v>127</v>
      </c>
      <c r="B369" s="9" t="s">
        <v>254</v>
      </c>
      <c r="C369" s="20">
        <v>2.25</v>
      </c>
      <c r="D369" s="20">
        <v>6629379.0114846006</v>
      </c>
      <c r="E369" s="20">
        <v>2095492.4837261965</v>
      </c>
      <c r="F369" s="203">
        <f t="shared" si="165"/>
        <v>0.31609182098293193</v>
      </c>
      <c r="G369" s="7"/>
      <c r="H369" s="172"/>
      <c r="I369" s="50"/>
      <c r="J369" s="267"/>
      <c r="K369" s="311" t="e">
        <f t="shared" si="166"/>
        <v>#DIV/0!</v>
      </c>
      <c r="L369" s="4"/>
      <c r="M369" s="4"/>
      <c r="N369" s="269"/>
      <c r="O369" s="4"/>
      <c r="P369" s="4"/>
      <c r="Q369" s="4"/>
    </row>
    <row r="370" spans="1:17" s="37" customFormat="1" x14ac:dyDescent="0.3">
      <c r="A370" s="5" t="s">
        <v>127</v>
      </c>
      <c r="B370" s="9" t="s">
        <v>305</v>
      </c>
      <c r="C370" s="20">
        <v>2.25</v>
      </c>
      <c r="D370" s="20">
        <v>6246536.1000000006</v>
      </c>
      <c r="E370" s="20">
        <v>2698137.1377500002</v>
      </c>
      <c r="F370" s="203">
        <f t="shared" si="165"/>
        <v>0.43194133429405779</v>
      </c>
      <c r="G370" s="7"/>
      <c r="H370" s="172"/>
      <c r="I370" s="50"/>
      <c r="J370" s="267"/>
      <c r="K370" s="311" t="e">
        <f t="shared" si="166"/>
        <v>#DIV/0!</v>
      </c>
      <c r="L370" s="4"/>
      <c r="M370" s="4"/>
      <c r="N370" s="269"/>
      <c r="O370" s="4"/>
      <c r="P370" s="4"/>
      <c r="Q370" s="4"/>
    </row>
    <row r="371" spans="1:17" s="37" customFormat="1" x14ac:dyDescent="0.3">
      <c r="A371" s="5" t="s">
        <v>127</v>
      </c>
      <c r="B371" s="9" t="s">
        <v>306</v>
      </c>
      <c r="C371" s="20">
        <v>2.25</v>
      </c>
      <c r="D371" s="20">
        <v>2824524.5</v>
      </c>
      <c r="E371" s="20">
        <v>1058996.9637500001</v>
      </c>
      <c r="F371" s="203">
        <f t="shared" si="165"/>
        <v>0.37492928942552989</v>
      </c>
      <c r="G371" s="7"/>
      <c r="H371" s="172"/>
      <c r="I371" s="50"/>
      <c r="J371" s="267"/>
      <c r="K371" s="311" t="e">
        <f t="shared" si="166"/>
        <v>#DIV/0!</v>
      </c>
      <c r="L371" s="4"/>
      <c r="M371" s="4"/>
      <c r="N371" s="269"/>
      <c r="O371" s="4"/>
      <c r="P371" s="4"/>
      <c r="Q371" s="4"/>
    </row>
    <row r="372" spans="1:17" s="37" customFormat="1" x14ac:dyDescent="0.3">
      <c r="A372" s="5" t="s">
        <v>127</v>
      </c>
      <c r="B372" s="9" t="s">
        <v>258</v>
      </c>
      <c r="C372" s="20">
        <v>1</v>
      </c>
      <c r="D372" s="20">
        <v>2348796.0750000002</v>
      </c>
      <c r="E372" s="20">
        <v>770478.31331250013</v>
      </c>
      <c r="F372" s="203">
        <f t="shared" si="165"/>
        <v>0.3280311652055618</v>
      </c>
      <c r="G372" s="7"/>
      <c r="H372" s="172"/>
      <c r="I372" s="50"/>
      <c r="J372" s="267"/>
      <c r="K372" s="311" t="e">
        <f t="shared" si="166"/>
        <v>#DIV/0!</v>
      </c>
      <c r="L372" s="4"/>
      <c r="M372" s="4"/>
      <c r="N372" s="269"/>
      <c r="O372" s="4"/>
      <c r="P372" s="4"/>
      <c r="Q372" s="4"/>
    </row>
    <row r="373" spans="1:17" s="37" customFormat="1" x14ac:dyDescent="0.3">
      <c r="A373" s="4" t="s">
        <v>259</v>
      </c>
      <c r="B373" s="4"/>
      <c r="C373" s="13">
        <f>SUM(C366:C372)</f>
        <v>12.25</v>
      </c>
      <c r="D373" s="13">
        <f t="shared" ref="D373:J373" si="179">SUM(D366:D372)</f>
        <v>31572012.3364846</v>
      </c>
      <c r="E373" s="13">
        <f t="shared" si="179"/>
        <v>11949228.554038696</v>
      </c>
      <c r="F373" s="315">
        <f t="shared" si="165"/>
        <v>0.37847535426907758</v>
      </c>
      <c r="G373" s="7"/>
      <c r="H373" s="13">
        <f t="shared" si="179"/>
        <v>0</v>
      </c>
      <c r="I373" s="13">
        <f t="shared" si="179"/>
        <v>0</v>
      </c>
      <c r="J373" s="13">
        <f t="shared" si="179"/>
        <v>0</v>
      </c>
      <c r="K373" s="93" t="e">
        <f t="shared" si="166"/>
        <v>#DIV/0!</v>
      </c>
      <c r="L373" s="98">
        <f t="shared" ref="L373" si="180">+H373-C373</f>
        <v>-12.25</v>
      </c>
      <c r="M373" s="98">
        <f t="shared" ref="M373" si="181">+I373-D373</f>
        <v>-31572012.3364846</v>
      </c>
      <c r="N373" s="300">
        <f t="shared" ref="N373" si="182">+J373-E373</f>
        <v>-11949228.554038696</v>
      </c>
      <c r="O373" s="4"/>
      <c r="P373" s="4"/>
      <c r="Q373" s="4"/>
    </row>
    <row r="374" spans="1:17" s="37" customFormat="1" x14ac:dyDescent="0.3">
      <c r="A374" s="4"/>
      <c r="B374" s="4"/>
      <c r="C374" s="13"/>
      <c r="D374" s="13"/>
      <c r="E374" s="13"/>
      <c r="F374" s="200"/>
      <c r="G374" s="48"/>
      <c r="H374" s="163"/>
      <c r="I374" s="4"/>
      <c r="J374" s="269"/>
      <c r="K374" s="93" t="e">
        <f t="shared" si="166"/>
        <v>#DIV/0!</v>
      </c>
      <c r="L374" s="4"/>
      <c r="M374" s="4"/>
      <c r="N374" s="269"/>
      <c r="O374" s="4"/>
      <c r="P374" s="4"/>
      <c r="Q374" s="4"/>
    </row>
    <row r="375" spans="1:17" s="37" customFormat="1" x14ac:dyDescent="0.3">
      <c r="A375" s="4" t="s">
        <v>260</v>
      </c>
      <c r="B375" s="4"/>
      <c r="C375" s="13">
        <f>C373</f>
        <v>12.25</v>
      </c>
      <c r="D375" s="13">
        <f t="shared" ref="D375:E375" si="183">D373</f>
        <v>31572012.3364846</v>
      </c>
      <c r="E375" s="13">
        <f t="shared" si="183"/>
        <v>11949228.554038696</v>
      </c>
      <c r="F375" s="200">
        <f t="shared" si="165"/>
        <v>0.37847535426907758</v>
      </c>
      <c r="G375" s="48"/>
      <c r="H375" s="13">
        <f>H373</f>
        <v>0</v>
      </c>
      <c r="I375" s="13">
        <f>I373</f>
        <v>0</v>
      </c>
      <c r="J375" s="13">
        <f>J373</f>
        <v>0</v>
      </c>
      <c r="K375" s="93" t="e">
        <f t="shared" si="166"/>
        <v>#DIV/0!</v>
      </c>
      <c r="L375" s="98">
        <f t="shared" ref="L375:L377" si="184">+H375-C375</f>
        <v>-12.25</v>
      </c>
      <c r="M375" s="98">
        <f t="shared" ref="M375:M377" si="185">+I375-D375</f>
        <v>-31572012.3364846</v>
      </c>
      <c r="N375" s="300">
        <f t="shared" ref="N375:N377" si="186">+J375-E375</f>
        <v>-11949228.554038696</v>
      </c>
      <c r="O375" s="4"/>
      <c r="P375" s="4"/>
      <c r="Q375" s="4"/>
    </row>
    <row r="376" spans="1:17" s="37" customFormat="1" x14ac:dyDescent="0.3">
      <c r="A376" s="4" t="s">
        <v>261</v>
      </c>
      <c r="B376" s="4"/>
      <c r="C376" s="13">
        <f>+C362+C354+C365</f>
        <v>35.049999999999997</v>
      </c>
      <c r="D376" s="13">
        <f t="shared" ref="D376:J376" si="187">+D362+D354+D365</f>
        <v>64425344.47333999</v>
      </c>
      <c r="E376" s="13">
        <f t="shared" si="187"/>
        <v>26916626.792689845</v>
      </c>
      <c r="F376" s="200">
        <f t="shared" si="165"/>
        <v>0.41779562084962202</v>
      </c>
      <c r="G376" s="48"/>
      <c r="H376" s="13">
        <f>+H362+H354+H365</f>
        <v>0</v>
      </c>
      <c r="I376" s="13">
        <f t="shared" si="187"/>
        <v>0</v>
      </c>
      <c r="J376" s="13">
        <f t="shared" si="187"/>
        <v>0</v>
      </c>
      <c r="K376" s="93" t="e">
        <f t="shared" si="166"/>
        <v>#DIV/0!</v>
      </c>
      <c r="L376" s="98">
        <f t="shared" si="184"/>
        <v>-35.049999999999997</v>
      </c>
      <c r="M376" s="98">
        <f t="shared" si="185"/>
        <v>-64425344.47333999</v>
      </c>
      <c r="N376" s="300">
        <f t="shared" si="186"/>
        <v>-26916626.792689845</v>
      </c>
      <c r="O376" s="4"/>
      <c r="P376" s="4"/>
      <c r="Q376" s="4"/>
    </row>
    <row r="377" spans="1:17" s="37" customFormat="1" x14ac:dyDescent="0.3">
      <c r="A377" s="4" t="s">
        <v>262</v>
      </c>
      <c r="B377" s="4"/>
      <c r="C377" s="13">
        <f>+C375+C376</f>
        <v>47.3</v>
      </c>
      <c r="D377" s="13">
        <f t="shared" ref="D377:E377" si="188">+D375+D376</f>
        <v>95997356.809824586</v>
      </c>
      <c r="E377" s="13">
        <f t="shared" si="188"/>
        <v>38865855.346728541</v>
      </c>
      <c r="F377" s="200">
        <f t="shared" si="165"/>
        <v>0.40486380707047676</v>
      </c>
      <c r="G377" s="14">
        <f t="shared" ref="G377:J377" si="189">+G375+G376</f>
        <v>0</v>
      </c>
      <c r="H377" s="150">
        <f>+H375+H376</f>
        <v>0</v>
      </c>
      <c r="I377" s="13">
        <f t="shared" si="189"/>
        <v>0</v>
      </c>
      <c r="J377" s="256">
        <f t="shared" si="189"/>
        <v>0</v>
      </c>
      <c r="K377" s="75" t="e">
        <f t="shared" si="166"/>
        <v>#DIV/0!</v>
      </c>
      <c r="L377" s="98">
        <f t="shared" si="184"/>
        <v>-47.3</v>
      </c>
      <c r="M377" s="98">
        <f t="shared" si="185"/>
        <v>-95997356.809824586</v>
      </c>
      <c r="N377" s="300">
        <f t="shared" si="186"/>
        <v>-38865855.346728541</v>
      </c>
      <c r="O377" s="4"/>
      <c r="P377" s="4"/>
      <c r="Q377" s="4"/>
    </row>
    <row r="378" spans="1:17" x14ac:dyDescent="0.3">
      <c r="A378" s="3"/>
      <c r="B378" s="3"/>
      <c r="C378" s="23"/>
      <c r="D378" s="23"/>
      <c r="E378" s="23"/>
      <c r="F378" s="204"/>
      <c r="G378" s="362"/>
      <c r="H378" s="151"/>
      <c r="I378" s="3"/>
      <c r="J378" s="3"/>
      <c r="K378" s="3"/>
      <c r="L378" s="3"/>
      <c r="M378" s="3"/>
      <c r="N378" s="3"/>
      <c r="O378" s="5"/>
      <c r="P378" s="5"/>
      <c r="Q378" s="5"/>
    </row>
    <row r="379" spans="1:17" x14ac:dyDescent="0.3">
      <c r="A379" s="3"/>
      <c r="B379" s="3"/>
      <c r="C379" s="23"/>
      <c r="D379" s="23"/>
      <c r="E379" s="23"/>
      <c r="F379" s="204"/>
      <c r="G379" s="362"/>
      <c r="H379" s="151"/>
      <c r="I379" s="3"/>
      <c r="J379" s="3"/>
      <c r="K379" s="3"/>
      <c r="L379" s="3"/>
      <c r="M379" s="3"/>
      <c r="N379" s="3"/>
      <c r="O379" s="5"/>
      <c r="P379" s="5"/>
      <c r="Q379" s="5"/>
    </row>
    <row r="380" spans="1:17" x14ac:dyDescent="0.3">
      <c r="A380" s="4" t="s">
        <v>226</v>
      </c>
      <c r="B380" s="4" t="s">
        <v>367</v>
      </c>
      <c r="C380" s="338" t="s">
        <v>228</v>
      </c>
      <c r="D380" s="338"/>
      <c r="E380" s="338"/>
      <c r="F380" s="338"/>
      <c r="G380" s="338"/>
      <c r="H380" s="336" t="s">
        <v>229</v>
      </c>
      <c r="I380" s="336"/>
      <c r="J380" s="336"/>
      <c r="K380" s="91"/>
      <c r="L380" s="336" t="s">
        <v>394</v>
      </c>
      <c r="M380" s="336"/>
      <c r="N380" s="339"/>
      <c r="O380" s="5"/>
      <c r="P380" s="5"/>
      <c r="Q380" s="5"/>
    </row>
    <row r="381" spans="1:17" x14ac:dyDescent="0.3">
      <c r="A381" s="5"/>
      <c r="B381" s="5"/>
      <c r="C381" s="6"/>
      <c r="D381" s="6"/>
      <c r="E381" s="6"/>
      <c r="F381" s="199"/>
      <c r="G381" s="7"/>
      <c r="H381" s="66"/>
      <c r="I381" s="5"/>
      <c r="J381" s="40"/>
      <c r="K381" s="91"/>
      <c r="L381" s="5"/>
      <c r="M381" s="5"/>
      <c r="N381" s="40"/>
      <c r="O381" s="5"/>
      <c r="P381" s="5"/>
      <c r="Q381" s="5"/>
    </row>
    <row r="382" spans="1:17" x14ac:dyDescent="0.3">
      <c r="A382" s="5" t="s">
        <v>230</v>
      </c>
      <c r="B382" s="5" t="s">
        <v>231</v>
      </c>
      <c r="C382" s="6" t="s">
        <v>232</v>
      </c>
      <c r="D382" s="6" t="s">
        <v>233</v>
      </c>
      <c r="E382" s="6" t="s">
        <v>234</v>
      </c>
      <c r="F382" s="231" t="s">
        <v>396</v>
      </c>
      <c r="G382" s="8"/>
      <c r="H382" s="141" t="s">
        <v>232</v>
      </c>
      <c r="I382" s="6" t="s">
        <v>233</v>
      </c>
      <c r="J382" s="252" t="s">
        <v>234</v>
      </c>
      <c r="K382" s="231" t="s">
        <v>396</v>
      </c>
      <c r="L382" s="6" t="s">
        <v>232</v>
      </c>
      <c r="M382" s="6" t="s">
        <v>233</v>
      </c>
      <c r="N382" s="252" t="s">
        <v>234</v>
      </c>
      <c r="O382" s="5"/>
      <c r="P382" s="5"/>
      <c r="Q382" s="5"/>
    </row>
    <row r="383" spans="1:17" x14ac:dyDescent="0.3">
      <c r="A383" s="5" t="s">
        <v>130</v>
      </c>
      <c r="B383" s="9" t="s">
        <v>264</v>
      </c>
      <c r="C383" s="10">
        <v>2.25</v>
      </c>
      <c r="D383" s="10">
        <v>6047365.5000000009</v>
      </c>
      <c r="E383" s="10">
        <v>3072001.776250001</v>
      </c>
      <c r="F383" s="197">
        <f t="shared" ref="F383:F410" si="190">+E383/D383</f>
        <v>0.50799009523237859</v>
      </c>
      <c r="G383" s="7"/>
      <c r="H383" s="142"/>
      <c r="I383" s="9"/>
      <c r="J383" s="253"/>
      <c r="K383" s="197" t="e">
        <f t="shared" ref="K383:K410" si="191">+J383/I383</f>
        <v>#DIV/0!</v>
      </c>
      <c r="L383" s="5"/>
      <c r="M383" s="5"/>
      <c r="N383" s="40"/>
      <c r="O383" s="5"/>
      <c r="P383" s="5"/>
      <c r="Q383" s="5"/>
    </row>
    <row r="384" spans="1:17" x14ac:dyDescent="0.3">
      <c r="A384" s="5" t="s">
        <v>130</v>
      </c>
      <c r="B384" s="9" t="s">
        <v>237</v>
      </c>
      <c r="C384" s="10">
        <v>4.5</v>
      </c>
      <c r="D384" s="10">
        <v>10100705.039999999</v>
      </c>
      <c r="E384" s="10">
        <v>3180367.1765999999</v>
      </c>
      <c r="F384" s="197">
        <f t="shared" si="190"/>
        <v>0.31486585975982528</v>
      </c>
      <c r="G384" s="7"/>
      <c r="H384" s="142"/>
      <c r="I384" s="9"/>
      <c r="J384" s="253"/>
      <c r="K384" s="197" t="e">
        <f t="shared" si="191"/>
        <v>#DIV/0!</v>
      </c>
      <c r="L384" s="5"/>
      <c r="M384" s="5"/>
      <c r="N384" s="40"/>
      <c r="O384" s="5"/>
      <c r="P384" s="5"/>
      <c r="Q384" s="5"/>
    </row>
    <row r="385" spans="1:17" x14ac:dyDescent="0.3">
      <c r="A385" s="5" t="s">
        <v>130</v>
      </c>
      <c r="B385" s="9" t="s">
        <v>368</v>
      </c>
      <c r="C385" s="10">
        <v>2.25</v>
      </c>
      <c r="D385" s="10">
        <v>4859382.5279999999</v>
      </c>
      <c r="E385" s="10">
        <v>1947967.7011200001</v>
      </c>
      <c r="F385" s="197">
        <f t="shared" si="190"/>
        <v>0.40086733034407457</v>
      </c>
      <c r="G385" s="7"/>
      <c r="H385" s="142"/>
      <c r="I385" s="9"/>
      <c r="J385" s="253"/>
      <c r="K385" s="197" t="e">
        <f t="shared" si="191"/>
        <v>#DIV/0!</v>
      </c>
      <c r="L385" s="5"/>
      <c r="M385" s="5"/>
      <c r="N385" s="40"/>
      <c r="O385" s="5"/>
      <c r="P385" s="5"/>
      <c r="Q385" s="5"/>
    </row>
    <row r="386" spans="1:17" x14ac:dyDescent="0.3">
      <c r="A386" s="5" t="s">
        <v>130</v>
      </c>
      <c r="B386" s="9" t="s">
        <v>369</v>
      </c>
      <c r="C386" s="10">
        <v>0.11</v>
      </c>
      <c r="D386" s="10">
        <v>350000</v>
      </c>
      <c r="E386" s="10">
        <v>258000</v>
      </c>
      <c r="F386" s="197">
        <f t="shared" si="190"/>
        <v>0.7371428571428571</v>
      </c>
      <c r="G386" s="7"/>
      <c r="H386" s="142"/>
      <c r="I386" s="9"/>
      <c r="J386" s="253"/>
      <c r="K386" s="197" t="e">
        <f t="shared" si="191"/>
        <v>#DIV/0!</v>
      </c>
      <c r="L386" s="5"/>
      <c r="M386" s="5"/>
      <c r="N386" s="40"/>
      <c r="O386" s="5"/>
      <c r="P386" s="5"/>
      <c r="Q386" s="5"/>
    </row>
    <row r="387" spans="1:17" x14ac:dyDescent="0.3">
      <c r="A387" s="5" t="s">
        <v>130</v>
      </c>
      <c r="B387" s="9" t="s">
        <v>370</v>
      </c>
      <c r="C387" s="10">
        <v>2.25</v>
      </c>
      <c r="D387" s="10">
        <v>5435158.0647153379</v>
      </c>
      <c r="E387" s="10">
        <v>2720464.9782592421</v>
      </c>
      <c r="F387" s="197">
        <f t="shared" si="190"/>
        <v>0.50053097736389829</v>
      </c>
      <c r="G387" s="7"/>
      <c r="H387" s="142"/>
      <c r="I387" s="9"/>
      <c r="J387" s="253"/>
      <c r="K387" s="197" t="e">
        <f t="shared" si="191"/>
        <v>#DIV/0!</v>
      </c>
      <c r="L387" s="5"/>
      <c r="M387" s="5"/>
      <c r="N387" s="40"/>
      <c r="O387" s="5"/>
      <c r="P387" s="5"/>
      <c r="Q387" s="5"/>
    </row>
    <row r="388" spans="1:17" x14ac:dyDescent="0.3">
      <c r="A388" s="5" t="s">
        <v>130</v>
      </c>
      <c r="B388" s="9" t="s">
        <v>267</v>
      </c>
      <c r="C388" s="10">
        <v>1</v>
      </c>
      <c r="D388" s="10">
        <v>3549646.4</v>
      </c>
      <c r="E388" s="10">
        <v>1913843.4</v>
      </c>
      <c r="F388" s="197">
        <f t="shared" si="190"/>
        <v>0.53916452072521925</v>
      </c>
      <c r="G388" s="7"/>
      <c r="H388" s="142"/>
      <c r="I388" s="9"/>
      <c r="J388" s="253"/>
      <c r="K388" s="197" t="e">
        <f t="shared" si="191"/>
        <v>#DIV/0!</v>
      </c>
      <c r="L388" s="5"/>
      <c r="M388" s="5"/>
      <c r="N388" s="40"/>
      <c r="O388" s="5"/>
      <c r="P388" s="5"/>
      <c r="Q388" s="5"/>
    </row>
    <row r="389" spans="1:17" x14ac:dyDescent="0.3">
      <c r="A389" s="5" t="s">
        <v>130</v>
      </c>
      <c r="B389" s="9" t="s">
        <v>238</v>
      </c>
      <c r="C389" s="10">
        <v>3.2</v>
      </c>
      <c r="D389" s="10">
        <v>8510681.0113399997</v>
      </c>
      <c r="E389" s="10">
        <v>3306670.5895848498</v>
      </c>
      <c r="F389" s="197">
        <f t="shared" si="190"/>
        <v>0.38853184429999182</v>
      </c>
      <c r="G389" s="7"/>
      <c r="H389" s="142"/>
      <c r="I389" s="9"/>
      <c r="J389" s="253"/>
      <c r="K389" s="197" t="e">
        <f t="shared" si="191"/>
        <v>#DIV/0!</v>
      </c>
      <c r="L389" s="5"/>
      <c r="M389" s="5"/>
      <c r="N389" s="40"/>
      <c r="O389" s="5"/>
      <c r="P389" s="5"/>
      <c r="Q389" s="5"/>
    </row>
    <row r="390" spans="1:17" x14ac:dyDescent="0.3">
      <c r="A390" s="5" t="s">
        <v>130</v>
      </c>
      <c r="B390" s="9" t="s">
        <v>371</v>
      </c>
      <c r="C390" s="10">
        <v>0.5</v>
      </c>
      <c r="D390" s="10">
        <v>93000</v>
      </c>
      <c r="E390" s="10">
        <v>46691.999999999993</v>
      </c>
      <c r="F390" s="197">
        <f t="shared" si="190"/>
        <v>0.50206451612903213</v>
      </c>
      <c r="G390" s="7"/>
      <c r="H390" s="142"/>
      <c r="I390" s="9"/>
      <c r="J390" s="253"/>
      <c r="K390" s="197" t="e">
        <f t="shared" si="191"/>
        <v>#DIV/0!</v>
      </c>
      <c r="L390" s="5"/>
      <c r="M390" s="5"/>
      <c r="N390" s="40"/>
      <c r="O390" s="5"/>
      <c r="P390" s="5"/>
      <c r="Q390" s="5"/>
    </row>
    <row r="391" spans="1:17" s="37" customFormat="1" x14ac:dyDescent="0.3">
      <c r="A391" s="4" t="s">
        <v>241</v>
      </c>
      <c r="B391" s="4"/>
      <c r="C391" s="13">
        <f>SUM(C383:C390)</f>
        <v>16.059999999999999</v>
      </c>
      <c r="D391" s="13">
        <f t="shared" ref="D391:E391" si="192">SUM(D383:D390)</f>
        <v>38945938.544055335</v>
      </c>
      <c r="E391" s="13">
        <f t="shared" si="192"/>
        <v>16446007.621814093</v>
      </c>
      <c r="F391" s="315">
        <f t="shared" si="190"/>
        <v>0.42227786096900705</v>
      </c>
      <c r="G391" s="48"/>
      <c r="H391" s="13">
        <f t="shared" ref="H391:J391" si="193">SUM(H383:H390)</f>
        <v>0</v>
      </c>
      <c r="I391" s="13">
        <f t="shared" si="193"/>
        <v>0</v>
      </c>
      <c r="J391" s="13">
        <f t="shared" si="193"/>
        <v>0</v>
      </c>
      <c r="K391" s="13" t="e">
        <f t="shared" si="191"/>
        <v>#DIV/0!</v>
      </c>
      <c r="L391" s="98">
        <f t="shared" ref="L391" si="194">+H391-C391</f>
        <v>-16.059999999999999</v>
      </c>
      <c r="M391" s="98">
        <f t="shared" ref="M391" si="195">+I391-D391</f>
        <v>-38945938.544055335</v>
      </c>
      <c r="N391" s="300">
        <f t="shared" ref="N391" si="196">+J391-E391</f>
        <v>-16446007.621814093</v>
      </c>
      <c r="O391" s="4"/>
      <c r="P391" s="4"/>
      <c r="Q391" s="4"/>
    </row>
    <row r="392" spans="1:17" x14ac:dyDescent="0.3">
      <c r="A392" s="5" t="s">
        <v>137</v>
      </c>
      <c r="B392" s="9" t="s">
        <v>291</v>
      </c>
      <c r="C392" s="10">
        <v>2.25</v>
      </c>
      <c r="D392" s="10">
        <v>4206236.8114156164</v>
      </c>
      <c r="E392" s="10">
        <v>2112951.4831587649</v>
      </c>
      <c r="F392" s="197">
        <f t="shared" si="190"/>
        <v>0.50233773748170096</v>
      </c>
      <c r="G392" s="7"/>
      <c r="H392" s="142"/>
      <c r="I392" s="9"/>
      <c r="J392" s="253"/>
      <c r="K392" s="197" t="e">
        <f t="shared" si="191"/>
        <v>#DIV/0!</v>
      </c>
      <c r="L392" s="5"/>
      <c r="M392" s="5"/>
      <c r="N392" s="40"/>
      <c r="O392" s="5"/>
      <c r="P392" s="5"/>
      <c r="Q392" s="5"/>
    </row>
    <row r="393" spans="1:17" x14ac:dyDescent="0.3">
      <c r="A393" s="5" t="s">
        <v>137</v>
      </c>
      <c r="B393" s="9" t="s">
        <v>242</v>
      </c>
      <c r="C393" s="10">
        <v>6.75</v>
      </c>
      <c r="D393" s="10">
        <v>14551376.147999998</v>
      </c>
      <c r="E393" s="10">
        <v>6532506.3846700015</v>
      </c>
      <c r="F393" s="197">
        <f>+E393/D393</f>
        <v>0.44892705117569626</v>
      </c>
      <c r="G393" s="7"/>
      <c r="H393" s="142"/>
      <c r="I393" s="9"/>
      <c r="J393" s="253"/>
      <c r="K393" s="197" t="e">
        <f t="shared" si="191"/>
        <v>#DIV/0!</v>
      </c>
      <c r="L393" s="5"/>
      <c r="M393" s="5"/>
      <c r="N393" s="40"/>
      <c r="O393" s="5"/>
      <c r="P393" s="5"/>
      <c r="Q393" s="5"/>
    </row>
    <row r="394" spans="1:17" x14ac:dyDescent="0.3">
      <c r="A394" s="5" t="s">
        <v>137</v>
      </c>
      <c r="B394" s="9" t="s">
        <v>372</v>
      </c>
      <c r="C394" s="10">
        <v>2</v>
      </c>
      <c r="D394" s="10">
        <v>3146959.5</v>
      </c>
      <c r="E394" s="10">
        <v>1406101.4112500001</v>
      </c>
      <c r="F394" s="197">
        <f t="shared" si="190"/>
        <v>0.44681268101797944</v>
      </c>
      <c r="G394" s="7"/>
      <c r="H394" s="142"/>
      <c r="I394" s="9"/>
      <c r="J394" s="253"/>
      <c r="K394" s="197" t="e">
        <f t="shared" si="191"/>
        <v>#DIV/0!</v>
      </c>
      <c r="L394" s="5"/>
      <c r="M394" s="5"/>
      <c r="N394" s="40"/>
      <c r="O394" s="5"/>
      <c r="P394" s="5"/>
      <c r="Q394" s="5"/>
    </row>
    <row r="395" spans="1:17" x14ac:dyDescent="0.3">
      <c r="A395" s="5" t="s">
        <v>137</v>
      </c>
      <c r="B395" s="9" t="s">
        <v>292</v>
      </c>
      <c r="C395" s="10">
        <v>2.25</v>
      </c>
      <c r="D395" s="10">
        <v>2324173.4399999995</v>
      </c>
      <c r="E395" s="10">
        <v>1026643.0175999998</v>
      </c>
      <c r="F395" s="197">
        <f t="shared" si="190"/>
        <v>0.4417239264209129</v>
      </c>
      <c r="G395" s="7"/>
      <c r="H395" s="142"/>
      <c r="I395" s="9"/>
      <c r="J395" s="253"/>
      <c r="K395" s="197" t="e">
        <f t="shared" si="191"/>
        <v>#DIV/0!</v>
      </c>
      <c r="L395" s="5"/>
      <c r="M395" s="5"/>
      <c r="N395" s="40"/>
      <c r="O395" s="5"/>
      <c r="P395" s="5"/>
      <c r="Q395" s="5"/>
    </row>
    <row r="396" spans="1:17" x14ac:dyDescent="0.3">
      <c r="A396" s="5" t="s">
        <v>137</v>
      </c>
      <c r="B396" s="9" t="s">
        <v>293</v>
      </c>
      <c r="C396" s="10">
        <v>1</v>
      </c>
      <c r="D396" s="10">
        <v>5965898.4000000004</v>
      </c>
      <c r="E396" s="10">
        <v>3322083.9960000012</v>
      </c>
      <c r="F396" s="197">
        <f t="shared" si="190"/>
        <v>0.55684555338723185</v>
      </c>
      <c r="G396" s="7"/>
      <c r="H396" s="142"/>
      <c r="I396" s="9"/>
      <c r="J396" s="253"/>
      <c r="K396" s="197" t="e">
        <f t="shared" si="191"/>
        <v>#DIV/0!</v>
      </c>
      <c r="L396" s="5"/>
      <c r="M396" s="5"/>
      <c r="N396" s="40"/>
      <c r="O396" s="5"/>
      <c r="P396" s="5"/>
      <c r="Q396" s="5"/>
    </row>
    <row r="397" spans="1:17" x14ac:dyDescent="0.3">
      <c r="A397" s="5" t="s">
        <v>137</v>
      </c>
      <c r="B397" s="9" t="s">
        <v>373</v>
      </c>
      <c r="C397" s="10">
        <v>1</v>
      </c>
      <c r="D397" s="10">
        <v>1593857.7317647061</v>
      </c>
      <c r="E397" s="10">
        <v>892191.93280000007</v>
      </c>
      <c r="F397" s="197">
        <f t="shared" si="190"/>
        <v>0.55976886457248132</v>
      </c>
      <c r="G397" s="7"/>
      <c r="H397" s="142"/>
      <c r="I397" s="9"/>
      <c r="J397" s="253"/>
      <c r="K397" s="197" t="e">
        <f t="shared" si="191"/>
        <v>#DIV/0!</v>
      </c>
      <c r="L397" s="5"/>
      <c r="M397" s="5"/>
      <c r="N397" s="40"/>
      <c r="O397" s="5"/>
      <c r="P397" s="5"/>
      <c r="Q397" s="5"/>
    </row>
    <row r="398" spans="1:17" s="37" customFormat="1" x14ac:dyDescent="0.3">
      <c r="A398" s="4" t="s">
        <v>245</v>
      </c>
      <c r="B398" s="4"/>
      <c r="C398" s="13">
        <f>SUM(C392:C397)</f>
        <v>15.25</v>
      </c>
      <c r="D398" s="13">
        <f t="shared" ref="D398:E398" si="197">SUM(D392:D397)</f>
        <v>31788502.031180318</v>
      </c>
      <c r="E398" s="13">
        <f t="shared" si="197"/>
        <v>15292478.225478768</v>
      </c>
      <c r="F398" s="315">
        <f t="shared" si="190"/>
        <v>0.48106948262232896</v>
      </c>
      <c r="G398" s="48"/>
      <c r="H398" s="13">
        <f>SUM(H392:H397)</f>
        <v>0</v>
      </c>
      <c r="I398" s="13">
        <f t="shared" ref="I398" si="198">SUM(I392:I397)</f>
        <v>0</v>
      </c>
      <c r="J398" s="13">
        <f t="shared" ref="J398" si="199">SUM(J392:J397)</f>
        <v>0</v>
      </c>
      <c r="K398" s="13" t="e">
        <f t="shared" si="191"/>
        <v>#DIV/0!</v>
      </c>
      <c r="L398" s="98">
        <f t="shared" ref="L398" si="200">+H398-C398</f>
        <v>-15.25</v>
      </c>
      <c r="M398" s="98">
        <f t="shared" ref="M398" si="201">+I398-D398</f>
        <v>-31788502.031180318</v>
      </c>
      <c r="N398" s="300">
        <f t="shared" ref="N398" si="202">+J398-E398</f>
        <v>-15292478.225478768</v>
      </c>
      <c r="O398" s="4"/>
      <c r="P398" s="4"/>
      <c r="Q398" s="4"/>
    </row>
    <row r="399" spans="1:17" x14ac:dyDescent="0.3">
      <c r="A399" s="5" t="s">
        <v>115</v>
      </c>
      <c r="B399" s="9" t="s">
        <v>246</v>
      </c>
      <c r="C399" s="10">
        <v>2.25</v>
      </c>
      <c r="D399" s="10">
        <v>8772248.1960000005</v>
      </c>
      <c r="E399" s="10">
        <v>4059975.7215900002</v>
      </c>
      <c r="F399" s="197">
        <f t="shared" si="190"/>
        <v>0.46282043449720012</v>
      </c>
      <c r="G399" s="7"/>
      <c r="H399" s="142"/>
      <c r="I399" s="9"/>
      <c r="J399" s="253"/>
      <c r="K399" s="197" t="e">
        <f t="shared" si="191"/>
        <v>#DIV/0!</v>
      </c>
      <c r="L399" s="5"/>
      <c r="M399" s="5"/>
      <c r="N399" s="40"/>
      <c r="O399" s="5"/>
      <c r="P399" s="5"/>
      <c r="Q399" s="5"/>
    </row>
    <row r="400" spans="1:17" x14ac:dyDescent="0.3">
      <c r="A400" s="5"/>
      <c r="B400" s="9" t="s">
        <v>374</v>
      </c>
      <c r="C400" s="10">
        <v>1</v>
      </c>
      <c r="D400" s="10">
        <v>4598739.9360000007</v>
      </c>
      <c r="E400" s="10">
        <v>2344455.4874400003</v>
      </c>
      <c r="F400" s="197">
        <f t="shared" si="190"/>
        <v>0.50980388542675792</v>
      </c>
      <c r="G400" s="7"/>
      <c r="H400" s="142"/>
      <c r="I400" s="9"/>
      <c r="J400" s="253"/>
      <c r="K400" s="197" t="e">
        <f t="shared" si="191"/>
        <v>#DIV/0!</v>
      </c>
      <c r="L400" s="5"/>
      <c r="M400" s="5"/>
      <c r="N400" s="40"/>
      <c r="O400" s="5"/>
      <c r="P400" s="5"/>
      <c r="Q400" s="5"/>
    </row>
    <row r="401" spans="1:17" s="37" customFormat="1" x14ac:dyDescent="0.3">
      <c r="A401" s="4" t="s">
        <v>249</v>
      </c>
      <c r="B401" s="4"/>
      <c r="C401" s="13">
        <f>SUM(C399:C400)</f>
        <v>3.25</v>
      </c>
      <c r="D401" s="13">
        <f t="shared" ref="D401:E401" si="203">SUM(D399:D400)</f>
        <v>13370988.132000001</v>
      </c>
      <c r="E401" s="13">
        <f t="shared" si="203"/>
        <v>6404431.2090300005</v>
      </c>
      <c r="F401" s="315">
        <f t="shared" si="190"/>
        <v>0.47897964950717825</v>
      </c>
      <c r="G401" s="48"/>
      <c r="H401" s="13">
        <f t="shared" ref="H401:J401" si="204">SUM(H399:H400)</f>
        <v>0</v>
      </c>
      <c r="I401" s="13">
        <f t="shared" si="204"/>
        <v>0</v>
      </c>
      <c r="J401" s="13">
        <f t="shared" si="204"/>
        <v>0</v>
      </c>
      <c r="K401" s="13" t="e">
        <f>SUM(K399:K400)</f>
        <v>#DIV/0!</v>
      </c>
      <c r="L401" s="98">
        <f t="shared" ref="L401" si="205">+H401-C401</f>
        <v>-3.25</v>
      </c>
      <c r="M401" s="98">
        <f t="shared" ref="M401" si="206">+I401-D401</f>
        <v>-13370988.132000001</v>
      </c>
      <c r="N401" s="300">
        <f t="shared" ref="N401" si="207">+J401-E401</f>
        <v>-6404431.2090300005</v>
      </c>
      <c r="O401" s="4"/>
      <c r="P401" s="4"/>
      <c r="Q401" s="4"/>
    </row>
    <row r="402" spans="1:17" x14ac:dyDescent="0.3">
      <c r="A402" s="5" t="s">
        <v>127</v>
      </c>
      <c r="B402" s="9" t="s">
        <v>250</v>
      </c>
      <c r="C402" s="20">
        <v>2.25</v>
      </c>
      <c r="D402" s="20">
        <v>1649598</v>
      </c>
      <c r="E402" s="20">
        <v>837384.04499999993</v>
      </c>
      <c r="F402" s="197">
        <f t="shared" si="190"/>
        <v>0.50762915874049308</v>
      </c>
      <c r="G402" s="7"/>
      <c r="H402" s="142"/>
      <c r="I402" s="9"/>
      <c r="J402" s="253"/>
      <c r="K402" s="197" t="e">
        <f t="shared" si="191"/>
        <v>#DIV/0!</v>
      </c>
      <c r="L402" s="5"/>
      <c r="M402" s="5"/>
      <c r="N402" s="40"/>
      <c r="O402" s="5"/>
      <c r="P402" s="5"/>
      <c r="Q402" s="5"/>
    </row>
    <row r="403" spans="1:17" x14ac:dyDescent="0.3">
      <c r="A403" s="5"/>
      <c r="B403" s="9" t="s">
        <v>280</v>
      </c>
      <c r="C403" s="20">
        <v>2.25</v>
      </c>
      <c r="D403" s="20">
        <v>2347164</v>
      </c>
      <c r="E403" s="20">
        <v>509797.89000000019</v>
      </c>
      <c r="F403" s="197">
        <f t="shared" si="190"/>
        <v>0.21719738799674851</v>
      </c>
      <c r="G403" s="7"/>
      <c r="H403" s="142"/>
      <c r="I403" s="9"/>
      <c r="J403" s="253"/>
      <c r="K403" s="197" t="e">
        <f t="shared" si="191"/>
        <v>#DIV/0!</v>
      </c>
      <c r="L403" s="5"/>
      <c r="M403" s="5"/>
      <c r="N403" s="40"/>
      <c r="O403" s="5"/>
      <c r="P403" s="5"/>
      <c r="Q403" s="5"/>
    </row>
    <row r="404" spans="1:17" x14ac:dyDescent="0.3">
      <c r="A404" s="5"/>
      <c r="B404" s="9" t="s">
        <v>281</v>
      </c>
      <c r="C404" s="20">
        <v>1</v>
      </c>
      <c r="D404" s="20">
        <v>1686723.45</v>
      </c>
      <c r="E404" s="20">
        <v>381796.17237500002</v>
      </c>
      <c r="F404" s="197">
        <f t="shared" si="190"/>
        <v>0.22635374659372884</v>
      </c>
      <c r="G404" s="7"/>
      <c r="H404" s="142"/>
      <c r="I404" s="9"/>
      <c r="J404" s="253"/>
      <c r="K404" s="197" t="e">
        <f t="shared" si="191"/>
        <v>#DIV/0!</v>
      </c>
      <c r="L404" s="5"/>
      <c r="M404" s="5"/>
      <c r="N404" s="40"/>
      <c r="O404" s="5"/>
      <c r="P404" s="5"/>
      <c r="Q404" s="5"/>
    </row>
    <row r="405" spans="1:17" x14ac:dyDescent="0.3">
      <c r="A405" s="5"/>
      <c r="B405" s="9" t="s">
        <v>252</v>
      </c>
      <c r="C405" s="20">
        <v>2.5</v>
      </c>
      <c r="D405" s="20">
        <v>3811039.8000000003</v>
      </c>
      <c r="E405" s="20">
        <v>1608275.2500000002</v>
      </c>
      <c r="F405" s="197">
        <f t="shared" si="190"/>
        <v>0.42200431756183709</v>
      </c>
      <c r="G405" s="7"/>
      <c r="H405" s="142"/>
      <c r="I405" s="9"/>
      <c r="J405" s="253"/>
      <c r="K405" s="197" t="e">
        <f t="shared" si="191"/>
        <v>#DIV/0!</v>
      </c>
      <c r="L405" s="5"/>
      <c r="M405" s="5"/>
      <c r="N405" s="40"/>
      <c r="O405" s="5"/>
      <c r="P405" s="5"/>
      <c r="Q405" s="5"/>
    </row>
    <row r="406" spans="1:17" x14ac:dyDescent="0.3">
      <c r="A406" s="5"/>
      <c r="B406" s="9" t="s">
        <v>332</v>
      </c>
      <c r="C406" s="20">
        <v>0.75</v>
      </c>
      <c r="D406" s="20">
        <v>2115802.5</v>
      </c>
      <c r="E406" s="20">
        <v>1052476.9437499996</v>
      </c>
      <c r="F406" s="197">
        <f t="shared" si="190"/>
        <v>0.49743628894946462</v>
      </c>
      <c r="G406" s="7"/>
      <c r="H406" s="142"/>
      <c r="I406" s="9"/>
      <c r="J406" s="253"/>
      <c r="K406" s="197" t="e">
        <f t="shared" si="191"/>
        <v>#DIV/0!</v>
      </c>
      <c r="L406" s="5"/>
      <c r="M406" s="5"/>
      <c r="N406" s="40"/>
      <c r="O406" s="5"/>
      <c r="P406" s="5"/>
      <c r="Q406" s="5"/>
    </row>
    <row r="407" spans="1:17" x14ac:dyDescent="0.3">
      <c r="A407" s="5"/>
      <c r="B407" s="9" t="s">
        <v>285</v>
      </c>
      <c r="C407" s="20">
        <v>0.5</v>
      </c>
      <c r="D407" s="20">
        <v>1283894.0718</v>
      </c>
      <c r="E407" s="20">
        <v>624730.2551844999</v>
      </c>
      <c r="F407" s="197">
        <f t="shared" si="190"/>
        <v>0.4865901859867906</v>
      </c>
      <c r="G407" s="7"/>
      <c r="H407" s="142"/>
      <c r="I407" s="9"/>
      <c r="J407" s="253"/>
      <c r="K407" s="197" t="e">
        <f t="shared" si="191"/>
        <v>#DIV/0!</v>
      </c>
      <c r="L407" s="5"/>
      <c r="M407" s="5"/>
      <c r="N407" s="40"/>
      <c r="O407" s="5"/>
      <c r="P407" s="5"/>
      <c r="Q407" s="5"/>
    </row>
    <row r="408" spans="1:17" x14ac:dyDescent="0.3">
      <c r="A408" s="5"/>
      <c r="B408" s="9" t="s">
        <v>254</v>
      </c>
      <c r="C408" s="20">
        <v>2.25</v>
      </c>
      <c r="D408" s="20">
        <v>7276747.7159999991</v>
      </c>
      <c r="E408" s="20">
        <v>2372078.7923900001</v>
      </c>
      <c r="F408" s="197">
        <f t="shared" si="190"/>
        <v>0.32598062829281688</v>
      </c>
      <c r="G408" s="7"/>
      <c r="H408" s="142"/>
      <c r="I408" s="9"/>
      <c r="J408" s="253"/>
      <c r="K408" s="197" t="e">
        <f t="shared" si="191"/>
        <v>#DIV/0!</v>
      </c>
      <c r="L408" s="5"/>
      <c r="M408" s="5"/>
      <c r="N408" s="40"/>
      <c r="O408" s="5"/>
      <c r="P408" s="5"/>
      <c r="Q408" s="5"/>
    </row>
    <row r="409" spans="1:17" x14ac:dyDescent="0.3">
      <c r="A409" s="5"/>
      <c r="B409" s="9" t="s">
        <v>306</v>
      </c>
      <c r="C409" s="20">
        <v>2.25</v>
      </c>
      <c r="D409" s="20">
        <v>2860210.5</v>
      </c>
      <c r="E409" s="20">
        <v>1076552.4487500002</v>
      </c>
      <c r="F409" s="197">
        <f t="shared" si="190"/>
        <v>0.37638923734809038</v>
      </c>
      <c r="G409" s="7"/>
      <c r="H409" s="142"/>
      <c r="I409" s="9"/>
      <c r="J409" s="253"/>
      <c r="K409" s="197" t="e">
        <f t="shared" si="191"/>
        <v>#DIV/0!</v>
      </c>
      <c r="L409" s="5"/>
      <c r="M409" s="5"/>
      <c r="N409" s="40"/>
      <c r="O409" s="5"/>
      <c r="P409" s="5"/>
      <c r="Q409" s="5"/>
    </row>
    <row r="410" spans="1:17" x14ac:dyDescent="0.3">
      <c r="A410" s="5"/>
      <c r="B410" s="9" t="s">
        <v>282</v>
      </c>
      <c r="C410" s="20">
        <v>2.25</v>
      </c>
      <c r="D410" s="20">
        <v>4484330.25</v>
      </c>
      <c r="E410" s="20">
        <v>1686916.319375</v>
      </c>
      <c r="F410" s="197">
        <f t="shared" si="190"/>
        <v>0.37618021540117391</v>
      </c>
      <c r="G410" s="7"/>
      <c r="H410" s="142"/>
      <c r="I410" s="9"/>
      <c r="J410" s="253"/>
      <c r="K410" s="197" t="e">
        <f t="shared" si="191"/>
        <v>#DIV/0!</v>
      </c>
      <c r="L410" s="5"/>
      <c r="M410" s="5"/>
      <c r="N410" s="40"/>
      <c r="O410" s="5"/>
      <c r="P410" s="5"/>
      <c r="Q410" s="5"/>
    </row>
    <row r="411" spans="1:17" s="37" customFormat="1" x14ac:dyDescent="0.3">
      <c r="A411" s="4" t="s">
        <v>259</v>
      </c>
      <c r="B411" s="4"/>
      <c r="C411" s="13">
        <f>SUM(C402:C410)</f>
        <v>16</v>
      </c>
      <c r="D411" s="13">
        <f t="shared" ref="D411:E411" si="208">SUM(D402:D410)</f>
        <v>27515510.287799999</v>
      </c>
      <c r="E411" s="13">
        <f t="shared" si="208"/>
        <v>10150008.1168245</v>
      </c>
      <c r="F411" s="315">
        <f>+E411/D411</f>
        <v>0.36888315029086977</v>
      </c>
      <c r="G411" s="48"/>
      <c r="H411" s="13">
        <f>SUM(H402:H410)</f>
        <v>0</v>
      </c>
      <c r="I411" s="13">
        <f t="shared" ref="I411" si="209">SUM(I402:I410)</f>
        <v>0</v>
      </c>
      <c r="J411" s="13">
        <f t="shared" ref="J411" si="210">SUM(J402:J410)</f>
        <v>0</v>
      </c>
      <c r="K411" s="315" t="e">
        <f>+J411/I411</f>
        <v>#DIV/0!</v>
      </c>
      <c r="L411" s="98">
        <f t="shared" ref="L411" si="211">+H411-C411</f>
        <v>-16</v>
      </c>
      <c r="M411" s="98">
        <f t="shared" ref="M411" si="212">+I411-D411</f>
        <v>-27515510.287799999</v>
      </c>
      <c r="N411" s="300">
        <f t="shared" ref="N411" si="213">+J411-E411</f>
        <v>-10150008.1168245</v>
      </c>
      <c r="O411" s="4"/>
      <c r="P411" s="4"/>
      <c r="Q411" s="4"/>
    </row>
    <row r="412" spans="1:17" s="37" customFormat="1" x14ac:dyDescent="0.3">
      <c r="A412" s="4"/>
      <c r="B412" s="4"/>
      <c r="C412" s="13"/>
      <c r="D412" s="13"/>
      <c r="E412" s="13"/>
      <c r="F412" s="200"/>
      <c r="G412" s="48"/>
      <c r="H412" s="163"/>
      <c r="I412" s="4"/>
      <c r="J412" s="269"/>
      <c r="K412" s="315"/>
      <c r="L412" s="4"/>
      <c r="M412" s="4"/>
      <c r="N412" s="269"/>
      <c r="O412" s="4"/>
      <c r="P412" s="4"/>
      <c r="Q412" s="4"/>
    </row>
    <row r="413" spans="1:17" s="37" customFormat="1" x14ac:dyDescent="0.3">
      <c r="A413" s="4" t="s">
        <v>260</v>
      </c>
      <c r="B413" s="4"/>
      <c r="C413" s="13">
        <f>+C411</f>
        <v>16</v>
      </c>
      <c r="D413" s="13">
        <f t="shared" ref="D413:E413" si="214">+D411</f>
        <v>27515510.287799999</v>
      </c>
      <c r="E413" s="13">
        <f t="shared" si="214"/>
        <v>10150008.1168245</v>
      </c>
      <c r="F413" s="315">
        <f>+E413/D413</f>
        <v>0.36888315029086977</v>
      </c>
      <c r="G413" s="48"/>
      <c r="H413" s="13">
        <f>+H411</f>
        <v>0</v>
      </c>
      <c r="I413" s="13">
        <f t="shared" ref="I413:J413" si="215">+I411</f>
        <v>0</v>
      </c>
      <c r="J413" s="13">
        <f t="shared" si="215"/>
        <v>0</v>
      </c>
      <c r="K413" s="315" t="e">
        <f>+J413/I413</f>
        <v>#DIV/0!</v>
      </c>
      <c r="L413" s="98">
        <f t="shared" ref="L413:L415" si="216">+H413-C413</f>
        <v>-16</v>
      </c>
      <c r="M413" s="98">
        <f t="shared" ref="M413:M415" si="217">+I413-D413</f>
        <v>-27515510.287799999</v>
      </c>
      <c r="N413" s="300">
        <f t="shared" ref="N413:N415" si="218">+J413-E413</f>
        <v>-10150008.1168245</v>
      </c>
      <c r="O413" s="4"/>
      <c r="P413" s="4"/>
      <c r="Q413" s="4"/>
    </row>
    <row r="414" spans="1:17" s="37" customFormat="1" x14ac:dyDescent="0.3">
      <c r="A414" s="4" t="s">
        <v>261</v>
      </c>
      <c r="B414" s="4"/>
      <c r="C414" s="13">
        <f>+C401+C398+C391</f>
        <v>34.56</v>
      </c>
      <c r="D414" s="13">
        <f t="shared" ref="D414:E414" si="219">+D401+D398+D391</f>
        <v>84105428.707235664</v>
      </c>
      <c r="E414" s="13">
        <f t="shared" si="219"/>
        <v>38142917.056322865</v>
      </c>
      <c r="F414" s="315">
        <f>+E414/D414</f>
        <v>0.45351313990795217</v>
      </c>
      <c r="G414" s="48"/>
      <c r="H414" s="13">
        <f>+H401+H398+H391</f>
        <v>0</v>
      </c>
      <c r="I414" s="13">
        <f t="shared" ref="I414:J414" si="220">+I401+I398+I391</f>
        <v>0</v>
      </c>
      <c r="J414" s="13">
        <f t="shared" si="220"/>
        <v>0</v>
      </c>
      <c r="K414" s="315" t="e">
        <f>+J414/I414</f>
        <v>#DIV/0!</v>
      </c>
      <c r="L414" s="98">
        <f t="shared" si="216"/>
        <v>-34.56</v>
      </c>
      <c r="M414" s="98">
        <f t="shared" si="217"/>
        <v>-84105428.707235664</v>
      </c>
      <c r="N414" s="300">
        <f t="shared" si="218"/>
        <v>-38142917.056322865</v>
      </c>
      <c r="O414" s="4"/>
      <c r="P414" s="4"/>
      <c r="Q414" s="4"/>
    </row>
    <row r="415" spans="1:17" s="37" customFormat="1" x14ac:dyDescent="0.3">
      <c r="A415" s="4" t="s">
        <v>262</v>
      </c>
      <c r="B415" s="4"/>
      <c r="C415" s="13">
        <f>+C413+C414</f>
        <v>50.56</v>
      </c>
      <c r="D415" s="13">
        <f t="shared" ref="D415:E415" si="221">+D413+D414</f>
        <v>111620938.99503566</v>
      </c>
      <c r="E415" s="13">
        <f t="shared" si="221"/>
        <v>48292925.173147365</v>
      </c>
      <c r="F415" s="315">
        <f>+E415/D415</f>
        <v>0.43265112807638351</v>
      </c>
      <c r="G415" s="48"/>
      <c r="H415" s="13">
        <f>+H413+H414</f>
        <v>0</v>
      </c>
      <c r="I415" s="13">
        <f t="shared" ref="I415:J415" si="222">+I413+I414</f>
        <v>0</v>
      </c>
      <c r="J415" s="13">
        <f t="shared" si="222"/>
        <v>0</v>
      </c>
      <c r="K415" s="315" t="e">
        <f>+J415/I415</f>
        <v>#DIV/0!</v>
      </c>
      <c r="L415" s="98">
        <f t="shared" si="216"/>
        <v>-50.56</v>
      </c>
      <c r="M415" s="98">
        <f t="shared" si="217"/>
        <v>-111620938.99503566</v>
      </c>
      <c r="N415" s="300">
        <f t="shared" si="218"/>
        <v>-48292925.173147365</v>
      </c>
      <c r="O415" s="4"/>
      <c r="P415" s="4"/>
      <c r="Q415" s="4"/>
    </row>
    <row r="416" spans="1:17" x14ac:dyDescent="0.3">
      <c r="A416" s="3"/>
      <c r="B416" s="3"/>
      <c r="C416" s="23"/>
      <c r="D416" s="23"/>
      <c r="E416" s="23"/>
      <c r="F416" s="204"/>
      <c r="G416" s="362"/>
      <c r="H416" s="151"/>
      <c r="I416" s="3"/>
      <c r="J416" s="3"/>
      <c r="K416" s="3"/>
      <c r="L416" s="3"/>
      <c r="M416" s="3"/>
      <c r="N416" s="3"/>
      <c r="O416" s="5"/>
      <c r="P416" s="5"/>
      <c r="Q416" s="5"/>
    </row>
    <row r="417" spans="1:17" x14ac:dyDescent="0.3">
      <c r="A417" s="3"/>
      <c r="B417" s="3"/>
      <c r="C417" s="23"/>
      <c r="D417" s="23"/>
      <c r="E417" s="23"/>
      <c r="F417" s="204"/>
      <c r="G417" s="362"/>
      <c r="H417" s="151"/>
      <c r="I417" s="3"/>
      <c r="J417" s="3"/>
      <c r="K417" s="3"/>
      <c r="L417" s="3"/>
      <c r="M417" s="3"/>
      <c r="N417" s="3"/>
      <c r="O417" s="5"/>
      <c r="P417" s="5"/>
      <c r="Q417" s="5"/>
    </row>
    <row r="418" spans="1:17" x14ac:dyDescent="0.3">
      <c r="A418" s="4" t="s">
        <v>226</v>
      </c>
      <c r="B418" s="4" t="s">
        <v>375</v>
      </c>
      <c r="C418" s="338" t="s">
        <v>228</v>
      </c>
      <c r="D418" s="338"/>
      <c r="E418" s="338"/>
      <c r="F418" s="338"/>
      <c r="G418" s="338"/>
      <c r="H418" s="336" t="s">
        <v>229</v>
      </c>
      <c r="I418" s="336"/>
      <c r="J418" s="336"/>
      <c r="K418" s="91"/>
      <c r="L418" s="336" t="s">
        <v>394</v>
      </c>
      <c r="M418" s="336"/>
      <c r="N418" s="339"/>
      <c r="O418" s="5"/>
      <c r="P418" s="5"/>
      <c r="Q418" s="5"/>
    </row>
    <row r="419" spans="1:17" x14ac:dyDescent="0.3">
      <c r="A419" s="5"/>
      <c r="B419" s="5"/>
      <c r="C419" s="6"/>
      <c r="D419" s="6"/>
      <c r="E419" s="6"/>
      <c r="F419" s="199"/>
      <c r="G419" s="7"/>
      <c r="H419" s="66"/>
      <c r="I419" s="5"/>
      <c r="J419" s="40"/>
      <c r="K419" s="91"/>
      <c r="L419" s="5"/>
      <c r="M419" s="5"/>
      <c r="N419" s="40"/>
      <c r="O419" s="5"/>
      <c r="P419" s="5"/>
      <c r="Q419" s="5"/>
    </row>
    <row r="420" spans="1:17" x14ac:dyDescent="0.3">
      <c r="A420" s="5" t="s">
        <v>230</v>
      </c>
      <c r="B420" s="5" t="s">
        <v>231</v>
      </c>
      <c r="C420" s="6" t="s">
        <v>232</v>
      </c>
      <c r="D420" s="6" t="s">
        <v>233</v>
      </c>
      <c r="E420" s="6" t="s">
        <v>234</v>
      </c>
      <c r="F420" s="231" t="s">
        <v>396</v>
      </c>
      <c r="G420" s="8"/>
      <c r="H420" s="141" t="s">
        <v>232</v>
      </c>
      <c r="I420" s="6" t="s">
        <v>233</v>
      </c>
      <c r="J420" s="252" t="s">
        <v>234</v>
      </c>
      <c r="K420" s="231" t="s">
        <v>396</v>
      </c>
      <c r="L420" s="6" t="s">
        <v>232</v>
      </c>
      <c r="M420" s="6" t="s">
        <v>233</v>
      </c>
      <c r="N420" s="252" t="s">
        <v>234</v>
      </c>
      <c r="O420" s="5"/>
      <c r="P420" s="5"/>
      <c r="Q420" s="5"/>
    </row>
    <row r="421" spans="1:17" x14ac:dyDescent="0.3">
      <c r="A421" s="5" t="s">
        <v>130</v>
      </c>
      <c r="B421" s="9" t="s">
        <v>376</v>
      </c>
      <c r="C421" s="10">
        <v>2.25</v>
      </c>
      <c r="D421" s="10">
        <v>3493754.8799999994</v>
      </c>
      <c r="E421" s="10">
        <v>1336431.0952000001</v>
      </c>
      <c r="F421" s="197">
        <f t="shared" ref="F421:F452" si="223">+E421/D421</f>
        <v>0.38251999384684948</v>
      </c>
      <c r="G421" s="7"/>
      <c r="H421" s="142"/>
      <c r="I421" s="9"/>
      <c r="J421" s="253"/>
      <c r="K421" s="197" t="e">
        <f t="shared" ref="K421:K484" si="224">+J421/I421</f>
        <v>#DIV/0!</v>
      </c>
      <c r="L421" s="5"/>
      <c r="M421" s="5"/>
      <c r="N421" s="40"/>
      <c r="O421" s="5"/>
      <c r="P421" s="5"/>
      <c r="Q421" s="5"/>
    </row>
    <row r="422" spans="1:17" x14ac:dyDescent="0.3">
      <c r="A422" s="5" t="s">
        <v>130</v>
      </c>
      <c r="B422" s="9" t="s">
        <v>377</v>
      </c>
      <c r="C422" s="10">
        <v>2.25</v>
      </c>
      <c r="D422" s="10">
        <v>2773019.0880000005</v>
      </c>
      <c r="E422" s="10">
        <v>568841.19852000021</v>
      </c>
      <c r="F422" s="197">
        <f t="shared" si="223"/>
        <v>0.20513425276501382</v>
      </c>
      <c r="G422" s="7"/>
      <c r="H422" s="142"/>
      <c r="I422" s="9"/>
      <c r="J422" s="253"/>
      <c r="K422" s="197" t="e">
        <f t="shared" si="224"/>
        <v>#DIV/0!</v>
      </c>
      <c r="L422" s="5"/>
      <c r="M422" s="5"/>
      <c r="N422" s="40"/>
      <c r="O422" s="5"/>
      <c r="P422" s="5"/>
      <c r="Q422" s="5"/>
    </row>
    <row r="423" spans="1:17" x14ac:dyDescent="0.3">
      <c r="A423" s="5" t="s">
        <v>130</v>
      </c>
      <c r="B423" s="9" t="s">
        <v>264</v>
      </c>
      <c r="C423" s="10">
        <v>2.25</v>
      </c>
      <c r="D423" s="10">
        <v>5314692.7200000007</v>
      </c>
      <c r="E423" s="10">
        <v>1939180.1338000002</v>
      </c>
      <c r="F423" s="197">
        <f t="shared" si="223"/>
        <v>0.36487154309082992</v>
      </c>
      <c r="G423" s="7"/>
      <c r="H423" s="142"/>
      <c r="I423" s="9"/>
      <c r="J423" s="253"/>
      <c r="K423" s="312" t="e">
        <f t="shared" si="224"/>
        <v>#DIV/0!</v>
      </c>
      <c r="L423" s="5"/>
      <c r="M423" s="5"/>
      <c r="N423" s="40"/>
      <c r="O423" s="5"/>
      <c r="P423" s="5"/>
      <c r="Q423" s="5"/>
    </row>
    <row r="424" spans="1:17" x14ac:dyDescent="0.3">
      <c r="A424" s="5" t="s">
        <v>130</v>
      </c>
      <c r="B424" s="9" t="s">
        <v>265</v>
      </c>
      <c r="C424" s="10">
        <v>0.5</v>
      </c>
      <c r="D424" s="10">
        <v>578352</v>
      </c>
      <c r="E424" s="10">
        <v>322110.84000000003</v>
      </c>
      <c r="F424" s="197">
        <f t="shared" si="223"/>
        <v>0.55694601211718819</v>
      </c>
      <c r="G424" s="7"/>
      <c r="H424" s="142"/>
      <c r="I424" s="9"/>
      <c r="J424" s="253"/>
      <c r="K424" s="312" t="e">
        <f t="shared" si="224"/>
        <v>#DIV/0!</v>
      </c>
      <c r="L424" s="5"/>
      <c r="M424" s="5"/>
      <c r="N424" s="40"/>
      <c r="O424" s="5"/>
      <c r="P424" s="5"/>
      <c r="Q424" s="5"/>
    </row>
    <row r="425" spans="1:17" x14ac:dyDescent="0.3">
      <c r="A425" s="5" t="s">
        <v>130</v>
      </c>
      <c r="B425" s="9" t="s">
        <v>237</v>
      </c>
      <c r="C425" s="10">
        <v>6.75</v>
      </c>
      <c r="D425" s="10">
        <v>7605267.1200000001</v>
      </c>
      <c r="E425" s="10">
        <v>4210391.8097999999</v>
      </c>
      <c r="F425" s="197">
        <f t="shared" si="223"/>
        <v>0.55361524366812775</v>
      </c>
      <c r="G425" s="7"/>
      <c r="H425" s="142"/>
      <c r="I425" s="9"/>
      <c r="J425" s="253"/>
      <c r="K425" s="312" t="e">
        <f t="shared" si="224"/>
        <v>#DIV/0!</v>
      </c>
      <c r="L425" s="5"/>
      <c r="M425" s="5"/>
      <c r="N425" s="40"/>
      <c r="O425" s="5"/>
      <c r="P425" s="5"/>
      <c r="Q425" s="5"/>
    </row>
    <row r="426" spans="1:17" x14ac:dyDescent="0.3">
      <c r="A426" s="5" t="s">
        <v>130</v>
      </c>
      <c r="B426" s="9" t="s">
        <v>368</v>
      </c>
      <c r="C426" s="10">
        <v>2.25</v>
      </c>
      <c r="D426" s="10">
        <v>4175587.5840000003</v>
      </c>
      <c r="E426" s="10">
        <v>1693316.2233600006</v>
      </c>
      <c r="F426" s="197">
        <f t="shared" si="223"/>
        <v>0.40552765073074815</v>
      </c>
      <c r="G426" s="7"/>
      <c r="H426" s="142"/>
      <c r="I426" s="9"/>
      <c r="J426" s="253"/>
      <c r="K426" s="312" t="e">
        <f t="shared" si="224"/>
        <v>#DIV/0!</v>
      </c>
      <c r="L426" s="5"/>
      <c r="M426" s="5"/>
      <c r="N426" s="40"/>
      <c r="O426" s="5"/>
      <c r="P426" s="5"/>
      <c r="Q426" s="5"/>
    </row>
    <row r="427" spans="1:17" x14ac:dyDescent="0.3">
      <c r="A427" s="5" t="s">
        <v>130</v>
      </c>
      <c r="B427" s="9" t="s">
        <v>266</v>
      </c>
      <c r="C427" s="10">
        <v>0.15</v>
      </c>
      <c r="D427" s="10">
        <v>475000</v>
      </c>
      <c r="E427" s="10">
        <v>343800</v>
      </c>
      <c r="F427" s="197">
        <f t="shared" si="223"/>
        <v>0.72378947368421054</v>
      </c>
      <c r="G427" s="7"/>
      <c r="H427" s="142"/>
      <c r="I427" s="9"/>
      <c r="J427" s="253"/>
      <c r="K427" s="312" t="e">
        <f t="shared" si="224"/>
        <v>#DIV/0!</v>
      </c>
      <c r="L427" s="5"/>
      <c r="M427" s="5"/>
      <c r="N427" s="40"/>
      <c r="O427" s="5"/>
      <c r="P427" s="5"/>
      <c r="Q427" s="5"/>
    </row>
    <row r="428" spans="1:17" x14ac:dyDescent="0.3">
      <c r="A428" s="5" t="s">
        <v>130</v>
      </c>
      <c r="B428" s="9" t="s">
        <v>378</v>
      </c>
      <c r="C428" s="10">
        <v>2.25</v>
      </c>
      <c r="D428" s="10">
        <v>10680438.09</v>
      </c>
      <c r="E428" s="10">
        <v>4519318.2329750005</v>
      </c>
      <c r="F428" s="197">
        <f t="shared" si="223"/>
        <v>0.42313978086782772</v>
      </c>
      <c r="G428" s="7"/>
      <c r="H428" s="142"/>
      <c r="I428" s="9"/>
      <c r="J428" s="253"/>
      <c r="K428" s="312" t="e">
        <f t="shared" si="224"/>
        <v>#DIV/0!</v>
      </c>
      <c r="L428" s="5"/>
      <c r="M428" s="5"/>
      <c r="N428" s="40"/>
      <c r="O428" s="5"/>
      <c r="P428" s="5"/>
      <c r="Q428" s="5"/>
    </row>
    <row r="429" spans="1:17" x14ac:dyDescent="0.3">
      <c r="A429" s="5" t="s">
        <v>130</v>
      </c>
      <c r="B429" s="9" t="s">
        <v>370</v>
      </c>
      <c r="C429" s="10">
        <v>2.25</v>
      </c>
      <c r="D429" s="10">
        <v>5435158.0647153379</v>
      </c>
      <c r="E429" s="10">
        <v>2754720.5682592425</v>
      </c>
      <c r="F429" s="197">
        <f t="shared" si="223"/>
        <v>0.5068335705161352</v>
      </c>
      <c r="G429" s="7"/>
      <c r="H429" s="142"/>
      <c r="I429" s="9"/>
      <c r="J429" s="253"/>
      <c r="K429" s="312" t="e">
        <f t="shared" si="224"/>
        <v>#DIV/0!</v>
      </c>
      <c r="L429" s="5"/>
      <c r="M429" s="5"/>
      <c r="N429" s="40"/>
      <c r="O429" s="5"/>
      <c r="P429" s="5"/>
      <c r="Q429" s="5"/>
    </row>
    <row r="430" spans="1:17" x14ac:dyDescent="0.3">
      <c r="A430" s="5" t="s">
        <v>130</v>
      </c>
      <c r="B430" s="9" t="s">
        <v>238</v>
      </c>
      <c r="C430" s="10">
        <v>3.25</v>
      </c>
      <c r="D430" s="10">
        <v>8104710.9563999996</v>
      </c>
      <c r="E430" s="10">
        <v>3126868.4438809999</v>
      </c>
      <c r="F430" s="197">
        <f t="shared" si="223"/>
        <v>0.3858087550194278</v>
      </c>
      <c r="G430" s="7"/>
      <c r="H430" s="142"/>
      <c r="I430" s="9"/>
      <c r="J430" s="253"/>
      <c r="K430" s="312" t="e">
        <f t="shared" si="224"/>
        <v>#DIV/0!</v>
      </c>
      <c r="L430" s="5"/>
      <c r="M430" s="5"/>
      <c r="N430" s="40"/>
      <c r="O430" s="5"/>
      <c r="P430" s="5"/>
      <c r="Q430" s="5"/>
    </row>
    <row r="431" spans="1:17" s="37" customFormat="1" x14ac:dyDescent="0.3">
      <c r="A431" s="4" t="s">
        <v>241</v>
      </c>
      <c r="B431" s="4"/>
      <c r="C431" s="13">
        <f>SUM(C421:C430)</f>
        <v>24.15</v>
      </c>
      <c r="D431" s="13">
        <f t="shared" ref="D431:E431" si="225">SUM(D421:D430)</f>
        <v>48635980.503115341</v>
      </c>
      <c r="E431" s="13">
        <f t="shared" si="225"/>
        <v>20814978.545795243</v>
      </c>
      <c r="F431" s="200">
        <f t="shared" si="223"/>
        <v>0.42797489287713558</v>
      </c>
      <c r="G431" s="48"/>
      <c r="H431" s="13">
        <f t="shared" ref="H431:J431" si="226">SUM(H421:H430)</f>
        <v>0</v>
      </c>
      <c r="I431" s="13">
        <f t="shared" si="226"/>
        <v>0</v>
      </c>
      <c r="J431" s="13">
        <f t="shared" si="226"/>
        <v>0</v>
      </c>
      <c r="K431" s="93" t="e">
        <f t="shared" si="224"/>
        <v>#DIV/0!</v>
      </c>
      <c r="L431" s="98">
        <f t="shared" ref="L431" si="227">+H431-C431</f>
        <v>-24.15</v>
      </c>
      <c r="M431" s="98">
        <f t="shared" ref="M431" si="228">+I431-D431</f>
        <v>-48635980.503115341</v>
      </c>
      <c r="N431" s="300">
        <f t="shared" ref="N431" si="229">+J431-E431</f>
        <v>-20814978.545795243</v>
      </c>
      <c r="O431" s="4"/>
      <c r="P431" s="4"/>
      <c r="Q431" s="4"/>
    </row>
    <row r="432" spans="1:17" x14ac:dyDescent="0.3">
      <c r="A432" s="5" t="s">
        <v>137</v>
      </c>
      <c r="B432" s="9" t="s">
        <v>379</v>
      </c>
      <c r="C432" s="10">
        <v>2.1</v>
      </c>
      <c r="D432" s="10">
        <v>3362770.7220000001</v>
      </c>
      <c r="E432" s="10">
        <v>1499729.7707549997</v>
      </c>
      <c r="F432" s="197">
        <f t="shared" si="223"/>
        <v>0.4459803818748127</v>
      </c>
      <c r="G432" s="7"/>
      <c r="H432" s="142"/>
      <c r="I432" s="9"/>
      <c r="J432" s="253"/>
      <c r="K432" s="312" t="e">
        <f t="shared" si="224"/>
        <v>#DIV/0!</v>
      </c>
      <c r="L432" s="5"/>
      <c r="M432" s="5"/>
      <c r="N432" s="40"/>
      <c r="O432" s="5"/>
      <c r="P432" s="5"/>
      <c r="Q432" s="5"/>
    </row>
    <row r="433" spans="1:17" x14ac:dyDescent="0.3">
      <c r="A433" s="5" t="s">
        <v>137</v>
      </c>
      <c r="B433" s="9" t="s">
        <v>242</v>
      </c>
      <c r="C433" s="10">
        <v>4.5</v>
      </c>
      <c r="D433" s="10">
        <v>8475658.5779999997</v>
      </c>
      <c r="E433" s="10">
        <v>4095887.2599950004</v>
      </c>
      <c r="F433" s="197">
        <f t="shared" si="223"/>
        <v>0.48325297937632433</v>
      </c>
      <c r="G433" s="7"/>
      <c r="H433" s="142"/>
      <c r="I433" s="9"/>
      <c r="J433" s="253"/>
      <c r="K433" s="312" t="e">
        <f t="shared" si="224"/>
        <v>#DIV/0!</v>
      </c>
      <c r="L433" s="5"/>
      <c r="M433" s="5"/>
      <c r="N433" s="40"/>
      <c r="O433" s="5"/>
      <c r="P433" s="5"/>
      <c r="Q433" s="5"/>
    </row>
    <row r="434" spans="1:17" x14ac:dyDescent="0.3">
      <c r="A434" s="5" t="s">
        <v>137</v>
      </c>
      <c r="B434" s="9" t="s">
        <v>372</v>
      </c>
      <c r="C434" s="10">
        <v>2.25</v>
      </c>
      <c r="D434" s="10">
        <v>3815679.69</v>
      </c>
      <c r="E434" s="10">
        <v>1693764.5169749998</v>
      </c>
      <c r="F434" s="197">
        <f t="shared" si="223"/>
        <v>0.44389588607606628</v>
      </c>
      <c r="G434" s="7"/>
      <c r="H434" s="142"/>
      <c r="I434" s="9"/>
      <c r="J434" s="253"/>
      <c r="K434" s="312" t="e">
        <f t="shared" si="224"/>
        <v>#DIV/0!</v>
      </c>
      <c r="L434" s="5"/>
      <c r="M434" s="5"/>
      <c r="N434" s="40"/>
      <c r="O434" s="5"/>
      <c r="P434" s="5"/>
      <c r="Q434" s="5"/>
    </row>
    <row r="435" spans="1:17" x14ac:dyDescent="0.3">
      <c r="A435" s="5" t="s">
        <v>137</v>
      </c>
      <c r="B435" s="9" t="s">
        <v>330</v>
      </c>
      <c r="C435" s="10">
        <v>2.25</v>
      </c>
      <c r="D435" s="10">
        <v>3307045.1999999993</v>
      </c>
      <c r="E435" s="10">
        <v>1625286.1429999995</v>
      </c>
      <c r="F435" s="197">
        <f t="shared" si="223"/>
        <v>0.49146172631689455</v>
      </c>
      <c r="G435" s="7"/>
      <c r="H435" s="142"/>
      <c r="I435" s="9"/>
      <c r="J435" s="253"/>
      <c r="K435" s="312" t="e">
        <f t="shared" si="224"/>
        <v>#DIV/0!</v>
      </c>
      <c r="L435" s="5"/>
      <c r="M435" s="5"/>
      <c r="N435" s="40"/>
      <c r="O435" s="5"/>
      <c r="P435" s="5"/>
      <c r="Q435" s="5"/>
    </row>
    <row r="436" spans="1:17" x14ac:dyDescent="0.3">
      <c r="A436" s="5" t="s">
        <v>137</v>
      </c>
      <c r="B436" s="9" t="s">
        <v>314</v>
      </c>
      <c r="C436" s="10">
        <v>1</v>
      </c>
      <c r="D436" s="10">
        <v>5886900</v>
      </c>
      <c r="E436" s="10">
        <v>3546444.7499999995</v>
      </c>
      <c r="F436" s="197">
        <f t="shared" si="223"/>
        <v>0.60242992916475557</v>
      </c>
      <c r="G436" s="7"/>
      <c r="H436" s="142"/>
      <c r="I436" s="9"/>
      <c r="J436" s="253"/>
      <c r="K436" s="312" t="e">
        <f t="shared" si="224"/>
        <v>#DIV/0!</v>
      </c>
      <c r="L436" s="5"/>
      <c r="M436" s="5"/>
      <c r="N436" s="40"/>
      <c r="O436" s="5"/>
      <c r="P436" s="5"/>
      <c r="Q436" s="5"/>
    </row>
    <row r="437" spans="1:17" s="37" customFormat="1" x14ac:dyDescent="0.3">
      <c r="A437" s="4" t="s">
        <v>245</v>
      </c>
      <c r="B437" s="4"/>
      <c r="C437" s="13">
        <f>SUM(C432:C436)</f>
        <v>12.1</v>
      </c>
      <c r="D437" s="13">
        <f>SUM(D432:D436)</f>
        <v>24848054.189999998</v>
      </c>
      <c r="E437" s="13">
        <f>SUM(E432:E436)</f>
        <v>12461112.440724999</v>
      </c>
      <c r="F437" s="200">
        <f t="shared" si="223"/>
        <v>0.50149248490209442</v>
      </c>
      <c r="G437" s="48"/>
      <c r="H437" s="13">
        <f t="shared" ref="H437:J437" si="230">SUM(H432:H436)</f>
        <v>0</v>
      </c>
      <c r="I437" s="13">
        <f t="shared" si="230"/>
        <v>0</v>
      </c>
      <c r="J437" s="13">
        <f t="shared" si="230"/>
        <v>0</v>
      </c>
      <c r="K437" s="93" t="e">
        <f t="shared" si="224"/>
        <v>#DIV/0!</v>
      </c>
      <c r="L437" s="98">
        <f t="shared" ref="L437" si="231">+H437-C437</f>
        <v>-12.1</v>
      </c>
      <c r="M437" s="98">
        <f t="shared" ref="M437" si="232">+I437-D437</f>
        <v>-24848054.189999998</v>
      </c>
      <c r="N437" s="300">
        <f t="shared" ref="N437" si="233">+J437-E437</f>
        <v>-12461112.440724999</v>
      </c>
      <c r="O437" s="4"/>
      <c r="P437" s="4"/>
      <c r="Q437" s="4"/>
    </row>
    <row r="438" spans="1:17" x14ac:dyDescent="0.3">
      <c r="A438" s="5" t="s">
        <v>115</v>
      </c>
      <c r="B438" s="9" t="s">
        <v>246</v>
      </c>
      <c r="C438" s="10">
        <v>1</v>
      </c>
      <c r="D438" s="10">
        <v>3397386.96</v>
      </c>
      <c r="E438" s="10">
        <v>1645876.1534000002</v>
      </c>
      <c r="F438" s="197">
        <f t="shared" si="223"/>
        <v>0.48445354408495173</v>
      </c>
      <c r="G438" s="7"/>
      <c r="H438" s="142"/>
      <c r="I438" s="9"/>
      <c r="J438" s="253"/>
      <c r="K438" s="312" t="e">
        <f t="shared" si="224"/>
        <v>#DIV/0!</v>
      </c>
      <c r="L438" s="5"/>
      <c r="M438" s="5"/>
      <c r="N438" s="40"/>
      <c r="O438" s="5"/>
      <c r="P438" s="5"/>
      <c r="Q438" s="5"/>
    </row>
    <row r="439" spans="1:17" x14ac:dyDescent="0.3">
      <c r="A439" s="5" t="s">
        <v>115</v>
      </c>
      <c r="B439" s="9" t="s">
        <v>380</v>
      </c>
      <c r="C439" s="10">
        <v>2</v>
      </c>
      <c r="D439" s="10">
        <v>1704257.55</v>
      </c>
      <c r="E439" s="10">
        <v>941378.20512500021</v>
      </c>
      <c r="F439" s="197">
        <f t="shared" si="223"/>
        <v>0.55236851092430261</v>
      </c>
      <c r="G439" s="7"/>
      <c r="H439" s="142"/>
      <c r="I439" s="9"/>
      <c r="J439" s="253"/>
      <c r="K439" s="312" t="e">
        <f t="shared" si="224"/>
        <v>#DIV/0!</v>
      </c>
      <c r="L439" s="5"/>
      <c r="M439" s="5"/>
      <c r="N439" s="40"/>
      <c r="O439" s="5"/>
      <c r="P439" s="5"/>
      <c r="Q439" s="5"/>
    </row>
    <row r="440" spans="1:17" x14ac:dyDescent="0.3">
      <c r="A440" s="5" t="s">
        <v>115</v>
      </c>
      <c r="B440" s="9" t="s">
        <v>366</v>
      </c>
      <c r="C440" s="10">
        <v>1</v>
      </c>
      <c r="D440" s="10">
        <v>2252214</v>
      </c>
      <c r="E440" s="10">
        <v>1070659.1849999998</v>
      </c>
      <c r="F440" s="197">
        <f t="shared" si="223"/>
        <v>0.475380752006692</v>
      </c>
      <c r="G440" s="7"/>
      <c r="H440" s="142"/>
      <c r="I440" s="9"/>
      <c r="J440" s="253"/>
      <c r="K440" s="312" t="e">
        <f t="shared" si="224"/>
        <v>#DIV/0!</v>
      </c>
      <c r="L440" s="5"/>
      <c r="M440" s="5"/>
      <c r="N440" s="40"/>
      <c r="O440" s="5"/>
      <c r="P440" s="5"/>
      <c r="Q440" s="5"/>
    </row>
    <row r="441" spans="1:17" s="37" customFormat="1" x14ac:dyDescent="0.3">
      <c r="A441" s="4" t="s">
        <v>249</v>
      </c>
      <c r="B441" s="4"/>
      <c r="C441" s="13">
        <f>SUM(C438:C440)</f>
        <v>4</v>
      </c>
      <c r="D441" s="13">
        <f t="shared" ref="D441:E441" si="234">SUM(D438:D440)</f>
        <v>7353858.5099999998</v>
      </c>
      <c r="E441" s="13">
        <f t="shared" si="234"/>
        <v>3657913.5435250001</v>
      </c>
      <c r="F441" s="200">
        <f t="shared" si="223"/>
        <v>0.49741418583874825</v>
      </c>
      <c r="G441" s="48"/>
      <c r="H441" s="13">
        <f t="shared" ref="H441:J441" si="235">SUM(H438:H440)</f>
        <v>0</v>
      </c>
      <c r="I441" s="13">
        <f t="shared" si="235"/>
        <v>0</v>
      </c>
      <c r="J441" s="13">
        <f t="shared" si="235"/>
        <v>0</v>
      </c>
      <c r="K441" s="93" t="e">
        <f t="shared" si="224"/>
        <v>#DIV/0!</v>
      </c>
      <c r="L441" s="98">
        <f t="shared" ref="L441" si="236">+H441-C441</f>
        <v>-4</v>
      </c>
      <c r="M441" s="98">
        <f t="shared" ref="M441" si="237">+I441-D441</f>
        <v>-7353858.5099999998</v>
      </c>
      <c r="N441" s="300">
        <f t="shared" ref="N441" si="238">+J441-E441</f>
        <v>-3657913.5435250001</v>
      </c>
      <c r="O441" s="4"/>
      <c r="P441" s="4"/>
      <c r="Q441" s="4"/>
    </row>
    <row r="442" spans="1:17" s="37" customFormat="1" x14ac:dyDescent="0.3">
      <c r="A442" s="5" t="s">
        <v>127</v>
      </c>
      <c r="B442" s="9" t="s">
        <v>281</v>
      </c>
      <c r="C442" s="20">
        <v>1</v>
      </c>
      <c r="D442" s="20">
        <v>1686723.45</v>
      </c>
      <c r="E442" s="20">
        <v>381796.17237500002</v>
      </c>
      <c r="F442" s="203">
        <f t="shared" si="223"/>
        <v>0.22635374659372884</v>
      </c>
      <c r="G442" s="48"/>
      <c r="H442" s="172"/>
      <c r="I442" s="50"/>
      <c r="J442" s="267"/>
      <c r="K442" s="311" t="e">
        <f t="shared" si="224"/>
        <v>#DIV/0!</v>
      </c>
      <c r="L442" s="4"/>
      <c r="M442" s="4"/>
      <c r="N442" s="269"/>
      <c r="O442" s="4"/>
      <c r="P442" s="4"/>
      <c r="Q442" s="4"/>
    </row>
    <row r="443" spans="1:17" s="37" customFormat="1" x14ac:dyDescent="0.3">
      <c r="A443" s="5" t="s">
        <v>127</v>
      </c>
      <c r="B443" s="9" t="s">
        <v>252</v>
      </c>
      <c r="C443" s="20">
        <v>2</v>
      </c>
      <c r="D443" s="20">
        <v>3027259.1999999997</v>
      </c>
      <c r="E443" s="20">
        <v>1338175.2999999998</v>
      </c>
      <c r="F443" s="203">
        <f t="shared" si="223"/>
        <v>0.44204186413902052</v>
      </c>
      <c r="G443" s="48"/>
      <c r="H443" s="172"/>
      <c r="I443" s="50"/>
      <c r="J443" s="267"/>
      <c r="K443" s="311" t="e">
        <f t="shared" si="224"/>
        <v>#DIV/0!</v>
      </c>
      <c r="L443" s="4"/>
      <c r="M443" s="4"/>
      <c r="N443" s="269"/>
      <c r="O443" s="4"/>
      <c r="P443" s="4"/>
      <c r="Q443" s="4"/>
    </row>
    <row r="444" spans="1:17" s="37" customFormat="1" x14ac:dyDescent="0.3">
      <c r="A444" s="5" t="s">
        <v>127</v>
      </c>
      <c r="B444" s="9" t="s">
        <v>253</v>
      </c>
      <c r="C444" s="20">
        <v>1.5</v>
      </c>
      <c r="D444" s="20">
        <v>2882757.96</v>
      </c>
      <c r="E444" s="20">
        <v>1278618.1059000001</v>
      </c>
      <c r="F444" s="203">
        <f t="shared" si="223"/>
        <v>0.44353987523114846</v>
      </c>
      <c r="G444" s="48"/>
      <c r="H444" s="172"/>
      <c r="I444" s="50"/>
      <c r="J444" s="267"/>
      <c r="K444" s="311" t="e">
        <f t="shared" si="224"/>
        <v>#DIV/0!</v>
      </c>
      <c r="L444" s="4"/>
      <c r="M444" s="4"/>
      <c r="N444" s="269"/>
      <c r="O444" s="4"/>
      <c r="P444" s="4"/>
      <c r="Q444" s="4"/>
    </row>
    <row r="445" spans="1:17" s="37" customFormat="1" x14ac:dyDescent="0.3">
      <c r="A445" s="5" t="s">
        <v>127</v>
      </c>
      <c r="B445" s="9" t="s">
        <v>254</v>
      </c>
      <c r="C445" s="20">
        <v>2.25</v>
      </c>
      <c r="D445" s="20">
        <v>7702009.7760000015</v>
      </c>
      <c r="E445" s="20">
        <v>2760746.0560399997</v>
      </c>
      <c r="F445" s="203">
        <f t="shared" si="223"/>
        <v>0.35844489118186745</v>
      </c>
      <c r="G445" s="48"/>
      <c r="H445" s="172"/>
      <c r="I445" s="50"/>
      <c r="J445" s="267"/>
      <c r="K445" s="311" t="e">
        <f t="shared" si="224"/>
        <v>#DIV/0!</v>
      </c>
      <c r="L445" s="4"/>
      <c r="M445" s="4"/>
      <c r="N445" s="269"/>
      <c r="O445" s="4"/>
      <c r="P445" s="4"/>
      <c r="Q445" s="4"/>
    </row>
    <row r="446" spans="1:17" s="37" customFormat="1" x14ac:dyDescent="0.3">
      <c r="A446" s="5" t="s">
        <v>127</v>
      </c>
      <c r="B446" s="9" t="s">
        <v>306</v>
      </c>
      <c r="C446" s="20">
        <v>4.5</v>
      </c>
      <c r="D446" s="20">
        <v>5597302.5</v>
      </c>
      <c r="E446" s="20">
        <v>2390281.1937500006</v>
      </c>
      <c r="F446" s="203">
        <f t="shared" si="223"/>
        <v>0.42704163188428723</v>
      </c>
      <c r="G446" s="48"/>
      <c r="H446" s="172"/>
      <c r="I446" s="50"/>
      <c r="J446" s="267"/>
      <c r="K446" s="311" t="e">
        <f t="shared" si="224"/>
        <v>#DIV/0!</v>
      </c>
      <c r="L446" s="4"/>
      <c r="M446" s="4"/>
      <c r="N446" s="269"/>
      <c r="O446" s="4"/>
      <c r="P446" s="4"/>
      <c r="Q446" s="4"/>
    </row>
    <row r="447" spans="1:17" s="37" customFormat="1" x14ac:dyDescent="0.3">
      <c r="A447" s="5" t="s">
        <v>127</v>
      </c>
      <c r="B447" s="9" t="s">
        <v>282</v>
      </c>
      <c r="C447" s="20">
        <v>2.25</v>
      </c>
      <c r="D447" s="20">
        <v>4458978.6000000006</v>
      </c>
      <c r="E447" s="20">
        <v>1324087.0815000003</v>
      </c>
      <c r="F447" s="203">
        <f t="shared" si="223"/>
        <v>0.2969485167522446</v>
      </c>
      <c r="G447" s="48"/>
      <c r="H447" s="172"/>
      <c r="I447" s="50"/>
      <c r="J447" s="267"/>
      <c r="K447" s="311" t="e">
        <f t="shared" si="224"/>
        <v>#DIV/0!</v>
      </c>
      <c r="L447" s="4"/>
      <c r="M447" s="4"/>
      <c r="N447" s="269"/>
      <c r="O447" s="4"/>
      <c r="P447" s="4"/>
      <c r="Q447" s="4"/>
    </row>
    <row r="448" spans="1:17" s="37" customFormat="1" x14ac:dyDescent="0.3">
      <c r="A448" s="4" t="s">
        <v>259</v>
      </c>
      <c r="B448" s="4"/>
      <c r="C448" s="13">
        <f>SUM(C442:C447)</f>
        <v>13.5</v>
      </c>
      <c r="D448" s="13">
        <f t="shared" ref="D448:E448" si="239">SUM(D442:D447)</f>
        <v>25355031.486000001</v>
      </c>
      <c r="E448" s="13">
        <f t="shared" si="239"/>
        <v>9473703.9095649999</v>
      </c>
      <c r="F448" s="200">
        <f t="shared" si="223"/>
        <v>0.37364196983135228</v>
      </c>
      <c r="G448" s="48"/>
      <c r="H448" s="13">
        <f t="shared" ref="H448:J448" si="240">SUM(H442:H447)</f>
        <v>0</v>
      </c>
      <c r="I448" s="13">
        <f t="shared" si="240"/>
        <v>0</v>
      </c>
      <c r="J448" s="13">
        <f t="shared" si="240"/>
        <v>0</v>
      </c>
      <c r="K448" s="93" t="e">
        <f t="shared" si="224"/>
        <v>#DIV/0!</v>
      </c>
      <c r="L448" s="98">
        <f t="shared" ref="L448" si="241">+H448-C448</f>
        <v>-13.5</v>
      </c>
      <c r="M448" s="98">
        <f t="shared" ref="M448" si="242">+I448-D448</f>
        <v>-25355031.486000001</v>
      </c>
      <c r="N448" s="300">
        <f t="shared" ref="N448" si="243">+J448-E448</f>
        <v>-9473703.9095649999</v>
      </c>
      <c r="O448" s="4"/>
      <c r="P448" s="4"/>
      <c r="Q448" s="4"/>
    </row>
    <row r="449" spans="1:17" s="37" customFormat="1" x14ac:dyDescent="0.3">
      <c r="A449" s="4"/>
      <c r="B449" s="4"/>
      <c r="C449" s="13"/>
      <c r="D449" s="13"/>
      <c r="E449" s="13"/>
      <c r="F449" s="200"/>
      <c r="G449" s="48"/>
      <c r="H449" s="163"/>
      <c r="I449" s="4"/>
      <c r="J449" s="269"/>
      <c r="K449" s="93" t="e">
        <f t="shared" si="224"/>
        <v>#DIV/0!</v>
      </c>
      <c r="L449" s="4"/>
      <c r="M449" s="4"/>
      <c r="N449" s="269"/>
      <c r="O449" s="4"/>
      <c r="P449" s="4"/>
      <c r="Q449" s="4"/>
    </row>
    <row r="450" spans="1:17" s="37" customFormat="1" x14ac:dyDescent="0.3">
      <c r="A450" s="4" t="s">
        <v>260</v>
      </c>
      <c r="B450" s="4"/>
      <c r="C450" s="13">
        <f>+C448</f>
        <v>13.5</v>
      </c>
      <c r="D450" s="13">
        <f t="shared" ref="D450:E450" si="244">+D448</f>
        <v>25355031.486000001</v>
      </c>
      <c r="E450" s="13">
        <f t="shared" si="244"/>
        <v>9473703.9095649999</v>
      </c>
      <c r="F450" s="200">
        <f t="shared" si="223"/>
        <v>0.37364196983135228</v>
      </c>
      <c r="G450" s="48"/>
      <c r="H450" s="13">
        <f>+H448</f>
        <v>0</v>
      </c>
      <c r="I450" s="13">
        <f t="shared" ref="I450:J450" si="245">+I448</f>
        <v>0</v>
      </c>
      <c r="J450" s="13">
        <f t="shared" si="245"/>
        <v>0</v>
      </c>
      <c r="K450" s="93" t="e">
        <f t="shared" si="224"/>
        <v>#DIV/0!</v>
      </c>
      <c r="L450" s="98">
        <f t="shared" ref="L450:L451" si="246">+H450-C450</f>
        <v>-13.5</v>
      </c>
      <c r="M450" s="98">
        <f t="shared" ref="M450:M452" si="247">+I450-D450</f>
        <v>-25355031.486000001</v>
      </c>
      <c r="N450" s="300">
        <f t="shared" ref="N450:N452" si="248">+J450-E450</f>
        <v>-9473703.9095649999</v>
      </c>
      <c r="O450" s="4"/>
      <c r="P450" s="4"/>
      <c r="Q450" s="4"/>
    </row>
    <row r="451" spans="1:17" s="37" customFormat="1" x14ac:dyDescent="0.3">
      <c r="A451" s="4" t="s">
        <v>261</v>
      </c>
      <c r="B451" s="4"/>
      <c r="C451" s="13">
        <f>+C441+C437+C431</f>
        <v>40.25</v>
      </c>
      <c r="D451" s="13">
        <f t="shared" ref="D451:E451" si="249">+D441+D437+D431</f>
        <v>80837893.203115344</v>
      </c>
      <c r="E451" s="13">
        <f t="shared" si="249"/>
        <v>36934004.530045241</v>
      </c>
      <c r="F451" s="200">
        <f t="shared" si="223"/>
        <v>0.45688974646140174</v>
      </c>
      <c r="G451" s="48"/>
      <c r="H451" s="13">
        <f>+H441+H437+H431</f>
        <v>0</v>
      </c>
      <c r="I451" s="13">
        <f t="shared" ref="I451:J451" si="250">+I441+I437+I431</f>
        <v>0</v>
      </c>
      <c r="J451" s="13">
        <f t="shared" si="250"/>
        <v>0</v>
      </c>
      <c r="K451" s="93" t="e">
        <f t="shared" si="224"/>
        <v>#DIV/0!</v>
      </c>
      <c r="L451" s="98">
        <f t="shared" si="246"/>
        <v>-40.25</v>
      </c>
      <c r="M451" s="98">
        <f t="shared" si="247"/>
        <v>-80837893.203115344</v>
      </c>
      <c r="N451" s="300">
        <f t="shared" si="248"/>
        <v>-36934004.530045241</v>
      </c>
      <c r="O451" s="4"/>
      <c r="P451" s="4"/>
      <c r="Q451" s="4"/>
    </row>
    <row r="452" spans="1:17" s="37" customFormat="1" x14ac:dyDescent="0.3">
      <c r="A452" s="4" t="s">
        <v>262</v>
      </c>
      <c r="B452" s="4"/>
      <c r="C452" s="13">
        <f>+C450+C451</f>
        <v>53.75</v>
      </c>
      <c r="D452" s="13">
        <f t="shared" ref="D452:E452" si="251">+D450+D451</f>
        <v>106192924.68911535</v>
      </c>
      <c r="E452" s="13">
        <f t="shared" si="251"/>
        <v>46407708.439610243</v>
      </c>
      <c r="F452" s="200">
        <f t="shared" si="223"/>
        <v>0.43701318685280527</v>
      </c>
      <c r="G452" s="48"/>
      <c r="H452" s="13">
        <f t="shared" ref="H452:J452" si="252">+H450+H451</f>
        <v>0</v>
      </c>
      <c r="I452" s="13">
        <f t="shared" si="252"/>
        <v>0</v>
      </c>
      <c r="J452" s="13">
        <f t="shared" si="252"/>
        <v>0</v>
      </c>
      <c r="K452" s="93" t="e">
        <f t="shared" si="224"/>
        <v>#DIV/0!</v>
      </c>
      <c r="L452" s="98">
        <f>+H452-C452</f>
        <v>-53.75</v>
      </c>
      <c r="M452" s="98">
        <f t="shared" si="247"/>
        <v>-106192924.68911535</v>
      </c>
      <c r="N452" s="300">
        <f t="shared" si="248"/>
        <v>-46407708.439610243</v>
      </c>
      <c r="O452" s="4"/>
      <c r="P452" s="4"/>
      <c r="Q452" s="4"/>
    </row>
    <row r="453" spans="1:17" x14ac:dyDescent="0.3">
      <c r="A453" s="3"/>
      <c r="B453" s="3"/>
      <c r="C453" s="23"/>
      <c r="D453" s="23"/>
      <c r="E453" s="23"/>
      <c r="F453" s="204"/>
      <c r="G453" s="362"/>
      <c r="H453" s="151"/>
      <c r="I453" s="3"/>
      <c r="J453" s="3"/>
      <c r="K453" s="3"/>
      <c r="L453" s="3"/>
      <c r="M453" s="3"/>
      <c r="N453" s="3"/>
      <c r="O453" s="5"/>
      <c r="P453" s="5"/>
      <c r="Q453" s="5"/>
    </row>
    <row r="454" spans="1:17" x14ac:dyDescent="0.3">
      <c r="A454" s="3"/>
      <c r="B454" s="3"/>
      <c r="C454" s="23"/>
      <c r="D454" s="23"/>
      <c r="E454" s="23"/>
      <c r="F454" s="204"/>
      <c r="G454" s="362"/>
      <c r="H454" s="151"/>
      <c r="I454" s="3"/>
      <c r="J454" s="3"/>
      <c r="K454" s="3"/>
      <c r="L454" s="3"/>
      <c r="M454" s="3"/>
      <c r="N454" s="3"/>
      <c r="O454" s="5"/>
      <c r="P454" s="5"/>
      <c r="Q454" s="5"/>
    </row>
    <row r="455" spans="1:17" x14ac:dyDescent="0.3">
      <c r="A455" s="4" t="s">
        <v>226</v>
      </c>
      <c r="B455" s="4" t="s">
        <v>381</v>
      </c>
      <c r="C455" s="338" t="s">
        <v>228</v>
      </c>
      <c r="D455" s="338"/>
      <c r="E455" s="338"/>
      <c r="F455" s="338"/>
      <c r="G455" s="338"/>
      <c r="H455" s="336" t="s">
        <v>229</v>
      </c>
      <c r="I455" s="336"/>
      <c r="J455" s="336"/>
      <c r="K455" s="91" t="e">
        <f t="shared" si="224"/>
        <v>#DIV/0!</v>
      </c>
      <c r="L455" s="336" t="s">
        <v>394</v>
      </c>
      <c r="M455" s="336"/>
      <c r="N455" s="339"/>
      <c r="O455" s="5"/>
      <c r="P455" s="5"/>
      <c r="Q455" s="5"/>
    </row>
    <row r="456" spans="1:17" x14ac:dyDescent="0.3">
      <c r="A456" s="5"/>
      <c r="B456" s="5"/>
      <c r="C456" s="6"/>
      <c r="D456" s="6"/>
      <c r="E456" s="6"/>
      <c r="F456" s="199"/>
      <c r="G456" s="7"/>
      <c r="H456" s="66"/>
      <c r="I456" s="5"/>
      <c r="J456" s="40"/>
      <c r="K456" s="91" t="e">
        <f t="shared" si="224"/>
        <v>#DIV/0!</v>
      </c>
      <c r="L456" s="5"/>
      <c r="M456" s="5"/>
      <c r="N456" s="40"/>
      <c r="O456" s="5"/>
      <c r="P456" s="5"/>
      <c r="Q456" s="5"/>
    </row>
    <row r="457" spans="1:17" x14ac:dyDescent="0.3">
      <c r="A457" s="5" t="s">
        <v>230</v>
      </c>
      <c r="B457" s="5" t="s">
        <v>231</v>
      </c>
      <c r="C457" s="6" t="s">
        <v>232</v>
      </c>
      <c r="D457" s="6" t="s">
        <v>233</v>
      </c>
      <c r="E457" s="6" t="s">
        <v>234</v>
      </c>
      <c r="F457" s="231" t="s">
        <v>396</v>
      </c>
      <c r="G457" s="8"/>
      <c r="H457" s="141" t="s">
        <v>232</v>
      </c>
      <c r="I457" s="6" t="s">
        <v>233</v>
      </c>
      <c r="J457" s="252" t="s">
        <v>234</v>
      </c>
      <c r="K457" s="92" t="e">
        <f t="shared" si="224"/>
        <v>#VALUE!</v>
      </c>
      <c r="L457" s="6" t="s">
        <v>232</v>
      </c>
      <c r="M457" s="6" t="s">
        <v>233</v>
      </c>
      <c r="N457" s="252" t="s">
        <v>234</v>
      </c>
      <c r="O457" s="5"/>
      <c r="P457" s="5"/>
      <c r="Q457" s="5"/>
    </row>
    <row r="458" spans="1:17" x14ac:dyDescent="0.3">
      <c r="A458" s="5" t="s">
        <v>130</v>
      </c>
      <c r="B458" s="9" t="s">
        <v>382</v>
      </c>
      <c r="C458" s="10">
        <v>0.2</v>
      </c>
      <c r="D458" s="10">
        <v>425000</v>
      </c>
      <c r="E458" s="10">
        <v>312500</v>
      </c>
      <c r="F458" s="197">
        <f t="shared" ref="F458:F496" si="253">+E458/D458</f>
        <v>0.73529411764705888</v>
      </c>
      <c r="G458" s="7"/>
      <c r="H458" s="142"/>
      <c r="I458" s="9"/>
      <c r="J458" s="253"/>
      <c r="K458" s="312" t="e">
        <f t="shared" si="224"/>
        <v>#DIV/0!</v>
      </c>
      <c r="L458" s="5"/>
      <c r="M458" s="5"/>
      <c r="N458" s="40"/>
      <c r="O458" s="5"/>
      <c r="P458" s="5"/>
      <c r="Q458" s="5"/>
    </row>
    <row r="459" spans="1:17" x14ac:dyDescent="0.3">
      <c r="A459" s="5"/>
      <c r="B459" s="9" t="s">
        <v>363</v>
      </c>
      <c r="C459" s="10">
        <v>0.04</v>
      </c>
      <c r="D459" s="10">
        <v>127500</v>
      </c>
      <c r="E459" s="10">
        <v>93900</v>
      </c>
      <c r="F459" s="197">
        <f t="shared" si="253"/>
        <v>0.7364705882352941</v>
      </c>
      <c r="G459" s="7"/>
      <c r="H459" s="142"/>
      <c r="I459" s="9"/>
      <c r="J459" s="253"/>
      <c r="K459" s="312" t="e">
        <f t="shared" si="224"/>
        <v>#DIV/0!</v>
      </c>
      <c r="L459" s="5"/>
      <c r="M459" s="5"/>
      <c r="N459" s="40"/>
      <c r="O459" s="5"/>
      <c r="P459" s="5"/>
      <c r="Q459" s="5"/>
    </row>
    <row r="460" spans="1:17" x14ac:dyDescent="0.3">
      <c r="A460" s="5"/>
      <c r="B460" s="9" t="s">
        <v>383</v>
      </c>
      <c r="C460" s="10">
        <v>4.5</v>
      </c>
      <c r="D460" s="10">
        <v>5674632.5999999996</v>
      </c>
      <c r="E460" s="10">
        <v>1310819.3264999993</v>
      </c>
      <c r="F460" s="197">
        <f t="shared" si="253"/>
        <v>0.23099633384194765</v>
      </c>
      <c r="G460" s="7"/>
      <c r="H460" s="142"/>
      <c r="I460" s="9"/>
      <c r="J460" s="253"/>
      <c r="K460" s="312" t="e">
        <f t="shared" si="224"/>
        <v>#DIV/0!</v>
      </c>
      <c r="L460" s="5"/>
      <c r="M460" s="5"/>
      <c r="N460" s="40"/>
      <c r="O460" s="5"/>
      <c r="P460" s="5"/>
      <c r="Q460" s="5"/>
    </row>
    <row r="461" spans="1:17" x14ac:dyDescent="0.3">
      <c r="A461" s="5"/>
      <c r="B461" s="9" t="s">
        <v>377</v>
      </c>
      <c r="C461" s="10">
        <v>2.25</v>
      </c>
      <c r="D461" s="10">
        <v>2402991.3600000003</v>
      </c>
      <c r="E461" s="10">
        <v>480226.45440000016</v>
      </c>
      <c r="F461" s="197">
        <f t="shared" si="253"/>
        <v>0.1998452688568968</v>
      </c>
      <c r="G461" s="7"/>
      <c r="H461" s="142"/>
      <c r="I461" s="9"/>
      <c r="J461" s="253"/>
      <c r="K461" s="312" t="e">
        <f t="shared" si="224"/>
        <v>#DIV/0!</v>
      </c>
      <c r="L461" s="5"/>
      <c r="M461" s="5"/>
      <c r="N461" s="40"/>
      <c r="O461" s="5"/>
      <c r="P461" s="5"/>
      <c r="Q461" s="5"/>
    </row>
    <row r="462" spans="1:17" x14ac:dyDescent="0.3">
      <c r="A462" s="5"/>
      <c r="B462" s="9" t="s">
        <v>384</v>
      </c>
      <c r="C462" s="10">
        <v>2.25</v>
      </c>
      <c r="D462" s="10">
        <v>3865725</v>
      </c>
      <c r="E462" s="10">
        <v>1448106.1875000002</v>
      </c>
      <c r="F462" s="197">
        <f t="shared" si="253"/>
        <v>0.37460144927536237</v>
      </c>
      <c r="G462" s="7"/>
      <c r="H462" s="142"/>
      <c r="I462" s="9"/>
      <c r="J462" s="253"/>
      <c r="K462" s="312" t="e">
        <f t="shared" si="224"/>
        <v>#DIV/0!</v>
      </c>
      <c r="L462" s="5"/>
      <c r="M462" s="5"/>
      <c r="N462" s="40"/>
      <c r="O462" s="5"/>
      <c r="P462" s="5"/>
      <c r="Q462" s="5"/>
    </row>
    <row r="463" spans="1:17" x14ac:dyDescent="0.3">
      <c r="A463" s="5"/>
      <c r="B463" s="9" t="s">
        <v>385</v>
      </c>
      <c r="C463" s="10">
        <v>5.0714285714285713E-3</v>
      </c>
      <c r="D463" s="10">
        <v>46750</v>
      </c>
      <c r="E463" s="10">
        <v>23494</v>
      </c>
      <c r="F463" s="197">
        <f t="shared" si="253"/>
        <v>0.50254545454545452</v>
      </c>
      <c r="G463" s="7"/>
      <c r="H463" s="142"/>
      <c r="I463" s="9"/>
      <c r="J463" s="253"/>
      <c r="K463" s="312" t="e">
        <f t="shared" si="224"/>
        <v>#DIV/0!</v>
      </c>
      <c r="L463" s="5"/>
      <c r="M463" s="5"/>
      <c r="N463" s="40"/>
      <c r="O463" s="5"/>
      <c r="P463" s="5"/>
      <c r="Q463" s="5"/>
    </row>
    <row r="464" spans="1:17" x14ac:dyDescent="0.3">
      <c r="A464" s="5"/>
      <c r="B464" s="9" t="s">
        <v>237</v>
      </c>
      <c r="C464" s="10">
        <v>4.5</v>
      </c>
      <c r="D464" s="10">
        <v>14352338.16</v>
      </c>
      <c r="E464" s="10">
        <v>4474430.2313999999</v>
      </c>
      <c r="F464" s="197">
        <f t="shared" si="253"/>
        <v>0.31175618784333325</v>
      </c>
      <c r="G464" s="7"/>
      <c r="H464" s="142"/>
      <c r="I464" s="9"/>
      <c r="J464" s="253"/>
      <c r="K464" s="312" t="e">
        <f t="shared" si="224"/>
        <v>#DIV/0!</v>
      </c>
      <c r="L464" s="5"/>
      <c r="M464" s="5"/>
      <c r="N464" s="40"/>
      <c r="O464" s="5"/>
      <c r="P464" s="5"/>
      <c r="Q464" s="5"/>
    </row>
    <row r="465" spans="1:17" x14ac:dyDescent="0.3">
      <c r="A465" s="5"/>
      <c r="B465" s="9" t="s">
        <v>368</v>
      </c>
      <c r="C465" s="10">
        <v>2.25</v>
      </c>
      <c r="D465" s="10">
        <v>4859382.5279999999</v>
      </c>
      <c r="E465" s="10">
        <v>1947967.7011199996</v>
      </c>
      <c r="F465" s="197">
        <f t="shared" si="253"/>
        <v>0.40086733034407446</v>
      </c>
      <c r="G465" s="7"/>
      <c r="H465" s="142"/>
      <c r="I465" s="9"/>
      <c r="J465" s="253"/>
      <c r="K465" s="312" t="e">
        <f t="shared" si="224"/>
        <v>#DIV/0!</v>
      </c>
      <c r="L465" s="5"/>
      <c r="M465" s="5"/>
      <c r="N465" s="40"/>
      <c r="O465" s="5"/>
      <c r="P465" s="5"/>
      <c r="Q465" s="5"/>
    </row>
    <row r="466" spans="1:17" x14ac:dyDescent="0.3">
      <c r="A466" s="5"/>
      <c r="B466" s="9" t="s">
        <v>386</v>
      </c>
      <c r="C466" s="10">
        <v>2.25</v>
      </c>
      <c r="D466" s="10">
        <v>3989309.5199999996</v>
      </c>
      <c r="E466" s="10">
        <v>1625989.2557999995</v>
      </c>
      <c r="F466" s="197">
        <f t="shared" si="253"/>
        <v>0.40758663815085466</v>
      </c>
      <c r="G466" s="7"/>
      <c r="H466" s="142"/>
      <c r="I466" s="9"/>
      <c r="J466" s="253"/>
      <c r="K466" s="312" t="e">
        <f t="shared" si="224"/>
        <v>#DIV/0!</v>
      </c>
      <c r="L466" s="5"/>
      <c r="M466" s="5"/>
      <c r="N466" s="40"/>
      <c r="O466" s="5"/>
      <c r="P466" s="5"/>
      <c r="Q466" s="5"/>
    </row>
    <row r="467" spans="1:17" x14ac:dyDescent="0.3">
      <c r="A467" s="5"/>
      <c r="B467" s="9" t="s">
        <v>370</v>
      </c>
      <c r="C467" s="10">
        <v>2.25</v>
      </c>
      <c r="D467" s="10">
        <v>5435158.0647153379</v>
      </c>
      <c r="E467" s="10">
        <v>2720464.9782592421</v>
      </c>
      <c r="F467" s="197">
        <f t="shared" si="253"/>
        <v>0.50053097736389829</v>
      </c>
      <c r="G467" s="7"/>
      <c r="H467" s="142"/>
      <c r="I467" s="9"/>
      <c r="J467" s="253"/>
      <c r="K467" s="312" t="e">
        <f t="shared" si="224"/>
        <v>#DIV/0!</v>
      </c>
      <c r="L467" s="5"/>
      <c r="M467" s="5"/>
      <c r="N467" s="40"/>
      <c r="O467" s="5"/>
      <c r="P467" s="5"/>
      <c r="Q467" s="5"/>
    </row>
    <row r="468" spans="1:17" x14ac:dyDescent="0.3">
      <c r="A468" s="5"/>
      <c r="B468" s="9" t="s">
        <v>267</v>
      </c>
      <c r="C468" s="10">
        <v>1</v>
      </c>
      <c r="D468" s="10">
        <v>1820620</v>
      </c>
      <c r="E468" s="10">
        <v>949839.9</v>
      </c>
      <c r="F468" s="197">
        <f t="shared" si="253"/>
        <v>0.52171232876712326</v>
      </c>
      <c r="G468" s="7"/>
      <c r="H468" s="142"/>
      <c r="I468" s="9"/>
      <c r="J468" s="253"/>
      <c r="K468" s="312" t="e">
        <f t="shared" si="224"/>
        <v>#DIV/0!</v>
      </c>
      <c r="L468" s="5"/>
      <c r="M468" s="5"/>
      <c r="N468" s="40"/>
      <c r="O468" s="5"/>
      <c r="P468" s="5"/>
      <c r="Q468" s="5"/>
    </row>
    <row r="469" spans="1:17" x14ac:dyDescent="0.3">
      <c r="A469" s="5"/>
      <c r="B469" s="9" t="s">
        <v>238</v>
      </c>
      <c r="C469" s="10">
        <v>2.25</v>
      </c>
      <c r="D469" s="10">
        <v>3801669.6275999998</v>
      </c>
      <c r="E469" s="10">
        <v>1762859.1409790001</v>
      </c>
      <c r="F469" s="197">
        <f t="shared" si="253"/>
        <v>0.46370655887105477</v>
      </c>
      <c r="G469" s="7"/>
      <c r="H469" s="142"/>
      <c r="I469" s="9"/>
      <c r="J469" s="253"/>
      <c r="K469" s="312" t="e">
        <f t="shared" si="224"/>
        <v>#DIV/0!</v>
      </c>
      <c r="L469" s="5"/>
      <c r="M469" s="5"/>
      <c r="N469" s="40"/>
      <c r="O469" s="5"/>
      <c r="P469" s="5"/>
      <c r="Q469" s="5"/>
    </row>
    <row r="470" spans="1:17" x14ac:dyDescent="0.3">
      <c r="A470" s="5"/>
      <c r="B470" s="9" t="s">
        <v>387</v>
      </c>
      <c r="C470" s="10">
        <v>4.5</v>
      </c>
      <c r="D470" s="10">
        <v>12599258</v>
      </c>
      <c r="E470" s="10">
        <v>593894.69500000076</v>
      </c>
      <c r="F470" s="197">
        <f t="shared" si="253"/>
        <v>4.7137275464952041E-2</v>
      </c>
      <c r="G470" s="7"/>
      <c r="H470" s="142"/>
      <c r="I470" s="9"/>
      <c r="J470" s="253"/>
      <c r="K470" s="312" t="e">
        <f t="shared" si="224"/>
        <v>#DIV/0!</v>
      </c>
      <c r="L470" s="5"/>
      <c r="M470" s="5"/>
      <c r="N470" s="40"/>
      <c r="O470" s="5"/>
      <c r="P470" s="5"/>
      <c r="Q470" s="5"/>
    </row>
    <row r="471" spans="1:17" s="37" customFormat="1" x14ac:dyDescent="0.3">
      <c r="A471" s="4" t="s">
        <v>241</v>
      </c>
      <c r="B471" s="4"/>
      <c r="C471" s="13">
        <f>SUM(C458:C470)</f>
        <v>28.245071428571428</v>
      </c>
      <c r="D471" s="13">
        <f t="shared" ref="D471:E471" si="254">SUM(D458:D470)</f>
        <v>59400334.860315338</v>
      </c>
      <c r="E471" s="13">
        <f t="shared" si="254"/>
        <v>17744491.870958243</v>
      </c>
      <c r="F471" s="200">
        <f t="shared" si="253"/>
        <v>0.29872713533830814</v>
      </c>
      <c r="G471" s="48"/>
      <c r="H471" s="13">
        <f t="shared" ref="H471:J471" si="255">SUM(H458:H470)</f>
        <v>0</v>
      </c>
      <c r="I471" s="13">
        <f t="shared" si="255"/>
        <v>0</v>
      </c>
      <c r="J471" s="13">
        <f t="shared" si="255"/>
        <v>0</v>
      </c>
      <c r="K471" s="93" t="e">
        <f t="shared" si="224"/>
        <v>#DIV/0!</v>
      </c>
      <c r="L471" s="98">
        <f t="shared" ref="L471" si="256">+H471-C471</f>
        <v>-28.245071428571428</v>
      </c>
      <c r="M471" s="98">
        <f t="shared" ref="M471" si="257">+I471-D471</f>
        <v>-59400334.860315338</v>
      </c>
      <c r="N471" s="300">
        <f t="shared" ref="N471" si="258">+J471-E471</f>
        <v>-17744491.870958243</v>
      </c>
      <c r="O471" s="4"/>
      <c r="P471" s="4"/>
      <c r="Q471" s="4"/>
    </row>
    <row r="472" spans="1:17" x14ac:dyDescent="0.3">
      <c r="A472" s="5" t="s">
        <v>137</v>
      </c>
      <c r="B472" s="9" t="s">
        <v>372</v>
      </c>
      <c r="C472" s="10">
        <v>2.25</v>
      </c>
      <c r="D472" s="10">
        <v>3815679.69</v>
      </c>
      <c r="E472" s="10">
        <v>1693764.5169749998</v>
      </c>
      <c r="F472" s="197">
        <f t="shared" si="253"/>
        <v>0.44389588607606628</v>
      </c>
      <c r="G472" s="7"/>
      <c r="H472" s="142"/>
      <c r="I472" s="9"/>
      <c r="J472" s="253"/>
      <c r="K472" s="312" t="e">
        <f t="shared" si="224"/>
        <v>#DIV/0!</v>
      </c>
      <c r="L472" s="5"/>
      <c r="M472" s="5"/>
      <c r="N472" s="40"/>
      <c r="O472" s="5"/>
      <c r="P472" s="5"/>
      <c r="Q472" s="5"/>
    </row>
    <row r="473" spans="1:17" x14ac:dyDescent="0.3">
      <c r="A473" s="5"/>
      <c r="B473" s="9" t="s">
        <v>330</v>
      </c>
      <c r="C473" s="10">
        <v>4.5</v>
      </c>
      <c r="D473" s="10">
        <v>5911384.4399999995</v>
      </c>
      <c r="E473" s="10">
        <v>2985526.9100999995</v>
      </c>
      <c r="F473" s="197">
        <f t="shared" si="253"/>
        <v>0.50504698863740283</v>
      </c>
      <c r="G473" s="7"/>
      <c r="H473" s="142"/>
      <c r="I473" s="9"/>
      <c r="J473" s="253"/>
      <c r="K473" s="312" t="e">
        <f t="shared" si="224"/>
        <v>#DIV/0!</v>
      </c>
      <c r="L473" s="5"/>
      <c r="M473" s="5"/>
      <c r="N473" s="40"/>
      <c r="O473" s="5"/>
      <c r="P473" s="5"/>
      <c r="Q473" s="5"/>
    </row>
    <row r="474" spans="1:17" s="37" customFormat="1" x14ac:dyDescent="0.3">
      <c r="A474" s="4" t="s">
        <v>245</v>
      </c>
      <c r="B474" s="4"/>
      <c r="C474" s="13">
        <f>SUM(C472:C473)</f>
        <v>6.75</v>
      </c>
      <c r="D474" s="13">
        <f t="shared" ref="D474:E474" si="259">SUM(D472:D473)</f>
        <v>9727064.129999999</v>
      </c>
      <c r="E474" s="13">
        <f t="shared" si="259"/>
        <v>4679291.4270749995</v>
      </c>
      <c r="F474" s="200">
        <f t="shared" si="253"/>
        <v>0.48105896748878535</v>
      </c>
      <c r="G474" s="48"/>
      <c r="H474" s="13">
        <f t="shared" ref="H474:J474" si="260">SUM(H472:H473)</f>
        <v>0</v>
      </c>
      <c r="I474" s="13">
        <f t="shared" si="260"/>
        <v>0</v>
      </c>
      <c r="J474" s="13">
        <f t="shared" si="260"/>
        <v>0</v>
      </c>
      <c r="K474" s="93" t="e">
        <f t="shared" si="224"/>
        <v>#DIV/0!</v>
      </c>
      <c r="L474" s="98">
        <f t="shared" ref="L474" si="261">+H474-C474</f>
        <v>-6.75</v>
      </c>
      <c r="M474" s="98">
        <f t="shared" ref="M474" si="262">+I474-D474</f>
        <v>-9727064.129999999</v>
      </c>
      <c r="N474" s="300">
        <f t="shared" ref="N474" si="263">+J474-E474</f>
        <v>-4679291.4270749995</v>
      </c>
      <c r="O474" s="4"/>
      <c r="P474" s="4"/>
      <c r="Q474" s="4"/>
    </row>
    <row r="475" spans="1:17" x14ac:dyDescent="0.3">
      <c r="A475" s="5" t="s">
        <v>115</v>
      </c>
      <c r="B475" s="9" t="s">
        <v>388</v>
      </c>
      <c r="C475" s="10">
        <v>1</v>
      </c>
      <c r="D475" s="10">
        <v>1353280.1249999998</v>
      </c>
      <c r="E475" s="10">
        <v>578016.32218749996</v>
      </c>
      <c r="F475" s="197">
        <f t="shared" si="253"/>
        <v>0.42712244974964075</v>
      </c>
      <c r="G475" s="7"/>
      <c r="H475" s="142"/>
      <c r="I475" s="9"/>
      <c r="J475" s="253"/>
      <c r="K475" s="312" t="e">
        <f t="shared" si="224"/>
        <v>#DIV/0!</v>
      </c>
      <c r="L475" s="5"/>
      <c r="M475" s="5"/>
      <c r="N475" s="40"/>
      <c r="O475" s="5"/>
      <c r="P475" s="5"/>
      <c r="Q475" s="5"/>
    </row>
    <row r="476" spans="1:17" x14ac:dyDescent="0.3">
      <c r="A476" s="5"/>
      <c r="B476" s="9" t="s">
        <v>389</v>
      </c>
      <c r="C476" s="10">
        <v>2.25</v>
      </c>
      <c r="D476" s="10">
        <v>9960330.9600000009</v>
      </c>
      <c r="E476" s="10">
        <v>4399679.6648399998</v>
      </c>
      <c r="F476" s="197">
        <f t="shared" si="253"/>
        <v>0.44172022822422352</v>
      </c>
      <c r="G476" s="7"/>
      <c r="H476" s="142"/>
      <c r="I476" s="9"/>
      <c r="J476" s="253"/>
      <c r="K476" s="312" t="e">
        <f t="shared" si="224"/>
        <v>#DIV/0!</v>
      </c>
      <c r="L476" s="5"/>
      <c r="M476" s="5"/>
      <c r="N476" s="40"/>
      <c r="O476" s="5"/>
      <c r="P476" s="5"/>
      <c r="Q476" s="5"/>
    </row>
    <row r="477" spans="1:17" x14ac:dyDescent="0.3">
      <c r="A477" s="5"/>
      <c r="B477" s="9" t="s">
        <v>246</v>
      </c>
      <c r="C477" s="10">
        <v>2.25</v>
      </c>
      <c r="D477" s="10">
        <v>8772248.1960000005</v>
      </c>
      <c r="E477" s="10">
        <v>4059975.7215900002</v>
      </c>
      <c r="F477" s="197">
        <f t="shared" si="253"/>
        <v>0.46282043449720012</v>
      </c>
      <c r="G477" s="7"/>
      <c r="H477" s="142"/>
      <c r="I477" s="9"/>
      <c r="J477" s="253"/>
      <c r="K477" s="312" t="e">
        <f t="shared" si="224"/>
        <v>#DIV/0!</v>
      </c>
      <c r="L477" s="5"/>
      <c r="M477" s="5"/>
      <c r="N477" s="40"/>
      <c r="O477" s="5"/>
      <c r="P477" s="5"/>
      <c r="Q477" s="5"/>
    </row>
    <row r="478" spans="1:17" s="37" customFormat="1" x14ac:dyDescent="0.3">
      <c r="A478" s="4" t="s">
        <v>249</v>
      </c>
      <c r="B478" s="4"/>
      <c r="C478" s="13">
        <f>SUM(C475:C477)</f>
        <v>5.5</v>
      </c>
      <c r="D478" s="13">
        <f t="shared" ref="D478:E478" si="264">SUM(D475:D477)</f>
        <v>20085859.281000003</v>
      </c>
      <c r="E478" s="13">
        <f t="shared" si="264"/>
        <v>9037671.708617501</v>
      </c>
      <c r="F478" s="200">
        <f t="shared" si="253"/>
        <v>0.44995195785159098</v>
      </c>
      <c r="G478" s="48"/>
      <c r="H478" s="13">
        <f t="shared" ref="H478:J478" si="265">SUM(H475:H477)</f>
        <v>0</v>
      </c>
      <c r="I478" s="13">
        <f t="shared" si="265"/>
        <v>0</v>
      </c>
      <c r="J478" s="13">
        <f t="shared" si="265"/>
        <v>0</v>
      </c>
      <c r="K478" s="93" t="e">
        <f t="shared" si="224"/>
        <v>#DIV/0!</v>
      </c>
      <c r="L478" s="98">
        <f t="shared" ref="L478" si="266">+H478-C478</f>
        <v>-5.5</v>
      </c>
      <c r="M478" s="98">
        <f t="shared" ref="M478" si="267">+I478-D478</f>
        <v>-20085859.281000003</v>
      </c>
      <c r="N478" s="300">
        <f t="shared" ref="N478" si="268">+J478-E478</f>
        <v>-9037671.708617501</v>
      </c>
      <c r="O478" s="4"/>
      <c r="P478" s="4"/>
      <c r="Q478" s="4"/>
    </row>
    <row r="479" spans="1:17" s="37" customFormat="1" x14ac:dyDescent="0.3">
      <c r="A479" s="5" t="s">
        <v>127</v>
      </c>
      <c r="B479" s="9" t="s">
        <v>390</v>
      </c>
      <c r="C479" s="20">
        <v>1</v>
      </c>
      <c r="D479" s="20">
        <v>1416511.5750000002</v>
      </c>
      <c r="E479" s="20">
        <v>386653.26456250006</v>
      </c>
      <c r="F479" s="203">
        <f t="shared" si="253"/>
        <v>0.27296159903423312</v>
      </c>
      <c r="G479" s="48"/>
      <c r="H479" s="172"/>
      <c r="I479" s="50"/>
      <c r="J479" s="267"/>
      <c r="K479" s="311" t="e">
        <f t="shared" si="224"/>
        <v>#DIV/0!</v>
      </c>
      <c r="L479" s="4"/>
      <c r="M479" s="4"/>
      <c r="N479" s="269"/>
      <c r="O479" s="4"/>
      <c r="P479" s="4"/>
      <c r="Q479" s="4"/>
    </row>
    <row r="480" spans="1:17" s="37" customFormat="1" x14ac:dyDescent="0.3">
      <c r="A480" s="5"/>
      <c r="B480" s="9" t="s">
        <v>250</v>
      </c>
      <c r="C480" s="20">
        <v>0.1</v>
      </c>
      <c r="D480" s="20">
        <v>429110.69999999995</v>
      </c>
      <c r="E480" s="20">
        <v>231077.70925000001</v>
      </c>
      <c r="F480" s="203">
        <f t="shared" si="253"/>
        <v>0.53850372234950106</v>
      </c>
      <c r="G480" s="48"/>
      <c r="H480" s="172"/>
      <c r="I480" s="50"/>
      <c r="J480" s="267"/>
      <c r="K480" s="311" t="e">
        <f t="shared" si="224"/>
        <v>#DIV/0!</v>
      </c>
      <c r="L480" s="4"/>
      <c r="M480" s="4"/>
      <c r="N480" s="269"/>
      <c r="O480" s="4"/>
      <c r="P480" s="4"/>
      <c r="Q480" s="4"/>
    </row>
    <row r="481" spans="1:17" s="37" customFormat="1" x14ac:dyDescent="0.3">
      <c r="A481" s="5"/>
      <c r="B481" s="9" t="s">
        <v>252</v>
      </c>
      <c r="C481" s="20">
        <v>0.4</v>
      </c>
      <c r="D481" s="20">
        <v>420000</v>
      </c>
      <c r="E481" s="20">
        <v>163152</v>
      </c>
      <c r="F481" s="203">
        <f t="shared" si="253"/>
        <v>0.38845714285714283</v>
      </c>
      <c r="G481" s="48"/>
      <c r="H481" s="172"/>
      <c r="I481" s="50"/>
      <c r="J481" s="267"/>
      <c r="K481" s="311" t="e">
        <f t="shared" si="224"/>
        <v>#DIV/0!</v>
      </c>
      <c r="L481" s="4"/>
      <c r="M481" s="4"/>
      <c r="N481" s="269"/>
      <c r="O481" s="4"/>
      <c r="P481" s="4"/>
      <c r="Q481" s="4"/>
    </row>
    <row r="482" spans="1:17" s="37" customFormat="1" x14ac:dyDescent="0.3">
      <c r="A482" s="5"/>
      <c r="B482" s="9" t="s">
        <v>253</v>
      </c>
      <c r="C482" s="20">
        <v>2.25</v>
      </c>
      <c r="D482" s="20">
        <v>6187280.0219999999</v>
      </c>
      <c r="E482" s="20">
        <v>2586306.8215050003</v>
      </c>
      <c r="F482" s="203">
        <f t="shared" si="253"/>
        <v>0.41800384212592867</v>
      </c>
      <c r="G482" s="48"/>
      <c r="H482" s="172"/>
      <c r="I482" s="50"/>
      <c r="J482" s="267"/>
      <c r="K482" s="311" t="e">
        <f t="shared" si="224"/>
        <v>#DIV/0!</v>
      </c>
      <c r="L482" s="4"/>
      <c r="M482" s="4"/>
      <c r="N482" s="269"/>
      <c r="O482" s="4"/>
      <c r="P482" s="4"/>
      <c r="Q482" s="4"/>
    </row>
    <row r="483" spans="1:17" s="37" customFormat="1" x14ac:dyDescent="0.3">
      <c r="A483" s="5"/>
      <c r="B483" s="9" t="s">
        <v>305</v>
      </c>
      <c r="C483" s="20">
        <v>2.25</v>
      </c>
      <c r="D483" s="20">
        <v>6013658.25</v>
      </c>
      <c r="E483" s="20">
        <v>2631047.9393750001</v>
      </c>
      <c r="F483" s="203">
        <f t="shared" si="253"/>
        <v>0.43751204840664165</v>
      </c>
      <c r="G483" s="48"/>
      <c r="H483" s="172"/>
      <c r="I483" s="50"/>
      <c r="J483" s="267"/>
      <c r="K483" s="311" t="e">
        <f t="shared" si="224"/>
        <v>#DIV/0!</v>
      </c>
      <c r="L483" s="4"/>
      <c r="M483" s="4"/>
      <c r="N483" s="269"/>
      <c r="O483" s="4"/>
      <c r="P483" s="4"/>
      <c r="Q483" s="4"/>
    </row>
    <row r="484" spans="1:17" s="37" customFormat="1" x14ac:dyDescent="0.3">
      <c r="A484" s="5"/>
      <c r="B484" s="9" t="s">
        <v>306</v>
      </c>
      <c r="C484" s="20">
        <v>4.5</v>
      </c>
      <c r="D484" s="20">
        <v>5694468</v>
      </c>
      <c r="E484" s="20">
        <v>2549645.4700000002</v>
      </c>
      <c r="F484" s="203">
        <f t="shared" si="253"/>
        <v>0.44774076700404675</v>
      </c>
      <c r="G484" s="48"/>
      <c r="H484" s="172"/>
      <c r="I484" s="50"/>
      <c r="J484" s="267"/>
      <c r="K484" s="311" t="e">
        <f t="shared" si="224"/>
        <v>#DIV/0!</v>
      </c>
      <c r="L484" s="4"/>
      <c r="M484" s="4"/>
      <c r="N484" s="269"/>
      <c r="O484" s="4"/>
      <c r="P484" s="4"/>
      <c r="Q484" s="4"/>
    </row>
    <row r="485" spans="1:17" s="37" customFormat="1" x14ac:dyDescent="0.3">
      <c r="A485" s="5"/>
      <c r="B485" s="9" t="s">
        <v>255</v>
      </c>
      <c r="C485" s="20">
        <v>0.4</v>
      </c>
      <c r="D485" s="20">
        <v>534603.31499999994</v>
      </c>
      <c r="E485" s="20">
        <v>294190.97041249997</v>
      </c>
      <c r="F485" s="203">
        <f t="shared" si="253"/>
        <v>0.55029769206070112</v>
      </c>
      <c r="G485" s="48"/>
      <c r="H485" s="172"/>
      <c r="I485" s="50"/>
      <c r="J485" s="267"/>
      <c r="K485" s="311" t="e">
        <f t="shared" ref="K485:K491" si="269">+J485/I485</f>
        <v>#DIV/0!</v>
      </c>
      <c r="L485" s="4"/>
      <c r="M485" s="4"/>
      <c r="N485" s="269"/>
      <c r="O485" s="4"/>
      <c r="P485" s="4"/>
      <c r="Q485" s="4"/>
    </row>
    <row r="486" spans="1:17" s="37" customFormat="1" x14ac:dyDescent="0.3">
      <c r="A486" s="5"/>
      <c r="B486" s="9" t="s">
        <v>256</v>
      </c>
      <c r="C486" s="20">
        <v>2.25</v>
      </c>
      <c r="D486" s="20">
        <v>6214477.5</v>
      </c>
      <c r="E486" s="20">
        <v>2808799.2562500001</v>
      </c>
      <c r="F486" s="203">
        <f t="shared" si="253"/>
        <v>0.4519767359765966</v>
      </c>
      <c r="G486" s="48"/>
      <c r="H486" s="172"/>
      <c r="I486" s="50"/>
      <c r="J486" s="267"/>
      <c r="K486" s="311" t="e">
        <f t="shared" si="269"/>
        <v>#DIV/0!</v>
      </c>
      <c r="L486" s="4"/>
      <c r="M486" s="4"/>
      <c r="N486" s="269"/>
      <c r="O486" s="4"/>
      <c r="P486" s="4"/>
      <c r="Q486" s="4"/>
    </row>
    <row r="487" spans="1:17" s="37" customFormat="1" x14ac:dyDescent="0.3">
      <c r="A487" s="4" t="s">
        <v>259</v>
      </c>
      <c r="B487" s="4"/>
      <c r="C487" s="13">
        <f>SUM(C479:C486)</f>
        <v>13.15</v>
      </c>
      <c r="D487" s="13">
        <f t="shared" ref="D487:E487" si="270">SUM(D479:D486)</f>
        <v>26910109.362</v>
      </c>
      <c r="E487" s="13">
        <f t="shared" si="270"/>
        <v>11650873.431355001</v>
      </c>
      <c r="F487" s="200">
        <f t="shared" si="253"/>
        <v>0.43295526133414014</v>
      </c>
      <c r="G487" s="48"/>
      <c r="H487" s="13">
        <f t="shared" ref="H487:J487" si="271">SUM(H479:H486)</f>
        <v>0</v>
      </c>
      <c r="I487" s="13">
        <f t="shared" si="271"/>
        <v>0</v>
      </c>
      <c r="J487" s="13">
        <f t="shared" si="271"/>
        <v>0</v>
      </c>
      <c r="K487" s="93" t="e">
        <f t="shared" si="269"/>
        <v>#DIV/0!</v>
      </c>
      <c r="L487" s="98">
        <f t="shared" ref="L487" si="272">+H487-C487</f>
        <v>-13.15</v>
      </c>
      <c r="M487" s="98">
        <f t="shared" ref="M487" si="273">+I487-D487</f>
        <v>-26910109.362</v>
      </c>
      <c r="N487" s="300">
        <f t="shared" ref="N487" si="274">+J487-E487</f>
        <v>-11650873.431355001</v>
      </c>
      <c r="O487" s="4"/>
      <c r="P487" s="4"/>
      <c r="Q487" s="4"/>
    </row>
    <row r="488" spans="1:17" s="37" customFormat="1" x14ac:dyDescent="0.3">
      <c r="A488" s="4"/>
      <c r="B488" s="4"/>
      <c r="C488" s="13"/>
      <c r="D488" s="13"/>
      <c r="E488" s="13"/>
      <c r="F488" s="200"/>
      <c r="G488" s="48"/>
      <c r="H488" s="163"/>
      <c r="I488" s="4"/>
      <c r="J488" s="269"/>
      <c r="K488" s="93" t="e">
        <f t="shared" si="269"/>
        <v>#DIV/0!</v>
      </c>
      <c r="L488" s="4"/>
      <c r="M488" s="4"/>
      <c r="N488" s="269"/>
      <c r="O488" s="4"/>
      <c r="P488" s="4"/>
      <c r="Q488" s="4"/>
    </row>
    <row r="489" spans="1:17" s="37" customFormat="1" x14ac:dyDescent="0.3">
      <c r="A489" s="4" t="s">
        <v>260</v>
      </c>
      <c r="B489" s="4"/>
      <c r="C489" s="13">
        <f>+C487</f>
        <v>13.15</v>
      </c>
      <c r="D489" s="13">
        <f t="shared" ref="D489:E489" si="275">+D487</f>
        <v>26910109.362</v>
      </c>
      <c r="E489" s="13">
        <f t="shared" si="275"/>
        <v>11650873.431355001</v>
      </c>
      <c r="F489" s="200">
        <f t="shared" si="253"/>
        <v>0.43295526133414014</v>
      </c>
      <c r="G489" s="48"/>
      <c r="H489" s="13">
        <f t="shared" ref="H489:J489" si="276">+H487</f>
        <v>0</v>
      </c>
      <c r="I489" s="13">
        <f t="shared" si="276"/>
        <v>0</v>
      </c>
      <c r="J489" s="13">
        <f t="shared" si="276"/>
        <v>0</v>
      </c>
      <c r="K489" s="93" t="e">
        <f t="shared" si="269"/>
        <v>#DIV/0!</v>
      </c>
      <c r="L489" s="98">
        <f t="shared" ref="L489:L491" si="277">+H489-C489</f>
        <v>-13.15</v>
      </c>
      <c r="M489" s="98">
        <f t="shared" ref="M489:M491" si="278">+I489-D489</f>
        <v>-26910109.362</v>
      </c>
      <c r="N489" s="300">
        <f t="shared" ref="N489:N491" si="279">+J489-E489</f>
        <v>-11650873.431355001</v>
      </c>
      <c r="O489" s="4"/>
      <c r="P489" s="4"/>
      <c r="Q489" s="4"/>
    </row>
    <row r="490" spans="1:17" s="37" customFormat="1" x14ac:dyDescent="0.3">
      <c r="A490" s="4" t="s">
        <v>261</v>
      </c>
      <c r="B490" s="4"/>
      <c r="C490" s="13">
        <f>+C478+C474+C471</f>
        <v>40.495071428571428</v>
      </c>
      <c r="D490" s="13">
        <f t="shared" ref="D490:E490" si="280">+D478+D474+D471</f>
        <v>89213258.271315336</v>
      </c>
      <c r="E490" s="13">
        <f t="shared" si="280"/>
        <v>31461455.006650742</v>
      </c>
      <c r="F490" s="200">
        <f t="shared" si="253"/>
        <v>0.35265447777919035</v>
      </c>
      <c r="G490" s="48"/>
      <c r="H490" s="13">
        <f>+H478+H474+H471</f>
        <v>0</v>
      </c>
      <c r="I490" s="13">
        <f t="shared" ref="I490:J490" si="281">+I478+I474+I471</f>
        <v>0</v>
      </c>
      <c r="J490" s="13">
        <f t="shared" si="281"/>
        <v>0</v>
      </c>
      <c r="K490" s="93" t="e">
        <f t="shared" si="269"/>
        <v>#DIV/0!</v>
      </c>
      <c r="L490" s="98">
        <f t="shared" si="277"/>
        <v>-40.495071428571428</v>
      </c>
      <c r="M490" s="98">
        <f t="shared" si="278"/>
        <v>-89213258.271315336</v>
      </c>
      <c r="N490" s="300">
        <f t="shared" si="279"/>
        <v>-31461455.006650742</v>
      </c>
      <c r="O490" s="4"/>
      <c r="P490" s="4"/>
      <c r="Q490" s="4"/>
    </row>
    <row r="491" spans="1:17" s="37" customFormat="1" x14ac:dyDescent="0.3">
      <c r="A491" s="4" t="s">
        <v>262</v>
      </c>
      <c r="B491" s="4"/>
      <c r="C491" s="13">
        <f t="shared" ref="C491:G491" si="282">+C489+C490</f>
        <v>53.645071428571427</v>
      </c>
      <c r="D491" s="13">
        <f t="shared" ref="D491:E491" si="283">+D489+D490</f>
        <v>116123367.63331534</v>
      </c>
      <c r="E491" s="13">
        <f t="shared" si="283"/>
        <v>43112328.438005745</v>
      </c>
      <c r="F491" s="200">
        <f t="shared" si="253"/>
        <v>0.37126316017756433</v>
      </c>
      <c r="G491" s="14">
        <f t="shared" si="282"/>
        <v>0</v>
      </c>
      <c r="H491" s="13">
        <f t="shared" ref="H491:J491" si="284">+H489+H490</f>
        <v>0</v>
      </c>
      <c r="I491" s="13">
        <f t="shared" si="284"/>
        <v>0</v>
      </c>
      <c r="J491" s="13">
        <f t="shared" si="284"/>
        <v>0</v>
      </c>
      <c r="K491" s="75" t="e">
        <f t="shared" si="269"/>
        <v>#DIV/0!</v>
      </c>
      <c r="L491" s="98">
        <f t="shared" si="277"/>
        <v>-53.645071428571427</v>
      </c>
      <c r="M491" s="98">
        <f t="shared" si="278"/>
        <v>-116123367.63331534</v>
      </c>
      <c r="N491" s="300">
        <f t="shared" si="279"/>
        <v>-43112328.438005745</v>
      </c>
      <c r="O491" s="4"/>
      <c r="P491" s="4"/>
      <c r="Q491" s="4"/>
    </row>
    <row r="492" spans="1:17" x14ac:dyDescent="0.3">
      <c r="A492" s="3"/>
      <c r="B492" s="3"/>
      <c r="C492" s="23"/>
      <c r="D492" s="23"/>
      <c r="E492" s="23"/>
      <c r="F492" s="204"/>
      <c r="G492" s="362"/>
      <c r="H492" s="151"/>
      <c r="I492" s="3"/>
      <c r="J492" s="3"/>
      <c r="K492" s="3"/>
      <c r="L492" s="3"/>
      <c r="M492" s="3"/>
      <c r="N492" s="3"/>
      <c r="O492" s="5"/>
      <c r="P492" s="5"/>
      <c r="Q492" s="5"/>
    </row>
    <row r="493" spans="1:17" x14ac:dyDescent="0.3">
      <c r="A493" s="3"/>
      <c r="B493" s="3"/>
      <c r="C493" s="23"/>
      <c r="D493" s="23"/>
      <c r="E493" s="23"/>
      <c r="F493" s="204"/>
      <c r="G493" s="362"/>
      <c r="H493" s="151"/>
      <c r="I493" s="3"/>
      <c r="J493" s="3"/>
      <c r="K493" s="3"/>
      <c r="L493" s="3"/>
      <c r="M493" s="3"/>
      <c r="N493" s="3"/>
      <c r="O493" s="5"/>
      <c r="P493" s="5"/>
      <c r="Q493" s="5"/>
    </row>
    <row r="494" spans="1:17" x14ac:dyDescent="0.3">
      <c r="A494" s="61" t="s">
        <v>391</v>
      </c>
      <c r="B494" s="62"/>
      <c r="C494" s="63">
        <f>+C489+C450+C413+C375+C340+C301+C261+C215+C174+C132+C81+C35</f>
        <v>152.44999999999999</v>
      </c>
      <c r="D494" s="63">
        <f>+D489+D450+D413+D375+D340+D301+D261+D215+D174+D132+D81+D35</f>
        <v>322204859.0977686</v>
      </c>
      <c r="E494" s="63">
        <f>+E489+E450+E413+E375+E340+E301+E261+E215+E174+E132+E81+E35</f>
        <v>124768564.13244377</v>
      </c>
      <c r="F494" s="232">
        <f t="shared" si="253"/>
        <v>0.38723365154025957</v>
      </c>
      <c r="G494" s="14"/>
      <c r="H494" s="186">
        <f>+H489+H450+H413+H375+H340+H301+H261+H215+H174+H132+H81+H35</f>
        <v>85.91</v>
      </c>
      <c r="I494" s="63">
        <f>+I489+I450+I413+I375+I340+I301+I261+I215+I174+I132+I81+I35</f>
        <v>176844049.65775847</v>
      </c>
      <c r="J494" s="305">
        <f>+J489+J450+J413+J375+J340+J301+J261+J215+J174+J132+J81+J35</f>
        <v>70761266.982145339</v>
      </c>
      <c r="K494" s="232">
        <f>+J494/I494</f>
        <v>0.40013371735768161</v>
      </c>
      <c r="L494" s="98">
        <f t="shared" ref="L494:L496" si="285">+H494-C494</f>
        <v>-66.539999999999992</v>
      </c>
      <c r="M494" s="98">
        <f t="shared" ref="M494:M496" si="286">+I494-D494</f>
        <v>-145360809.44001013</v>
      </c>
      <c r="N494" s="300">
        <f t="shared" ref="N494:N496" si="287">+J494-E494</f>
        <v>-54007297.150298432</v>
      </c>
      <c r="O494" s="5"/>
      <c r="P494" s="5"/>
      <c r="Q494" s="5"/>
    </row>
    <row r="495" spans="1:17" x14ac:dyDescent="0.3">
      <c r="A495" s="61" t="s">
        <v>392</v>
      </c>
      <c r="B495" s="62"/>
      <c r="C495" s="63">
        <f>+C490+C451+C414+C376+C339+C302+C262+C216+C175+C133+C82+C36</f>
        <v>422.06507142857134</v>
      </c>
      <c r="D495" s="63">
        <f>+D490+D451+D414+D376+D339+D302+D262+D216+D175+D133+D82+D36</f>
        <v>882302440.54752457</v>
      </c>
      <c r="E495" s="63">
        <f>+E490+E451+E414+E376+E339+E302+E262+E216+E175+E133+E82+E36</f>
        <v>359745644.04806989</v>
      </c>
      <c r="F495" s="232">
        <f t="shared" si="253"/>
        <v>0.40773506624873995</v>
      </c>
      <c r="G495" s="14"/>
      <c r="H495" s="186">
        <f>+H490+H451+H414+H376+H339+H302+H262+H216+H175+H133+H82+H36</f>
        <v>249.02</v>
      </c>
      <c r="I495" s="63">
        <f>+I490+I451+I414+I376+I339+I302+I262+I216+I175+I133+I82+I36</f>
        <v>532358468.1738472</v>
      </c>
      <c r="J495" s="305">
        <f>+J490+J451+J414+J376+J339+J302+J262+J216+J175+J133+J82+J36</f>
        <v>208713084.13882136</v>
      </c>
      <c r="K495" s="232">
        <f t="shared" ref="K495:K496" si="288">+J495/I495</f>
        <v>0.39205365673015635</v>
      </c>
      <c r="L495" s="98">
        <f t="shared" si="285"/>
        <v>-173.04507142857133</v>
      </c>
      <c r="M495" s="98">
        <f t="shared" si="286"/>
        <v>-349943972.37367737</v>
      </c>
      <c r="N495" s="300">
        <f t="shared" si="287"/>
        <v>-151032559.90924853</v>
      </c>
      <c r="O495" s="5"/>
      <c r="P495" s="5"/>
      <c r="Q495" s="5"/>
    </row>
    <row r="496" spans="1:17" x14ac:dyDescent="0.3">
      <c r="A496" s="61" t="s">
        <v>393</v>
      </c>
      <c r="B496" s="62"/>
      <c r="C496" s="63">
        <f>SUM(C494:C495)</f>
        <v>574.51507142857133</v>
      </c>
      <c r="D496" s="63">
        <f t="shared" ref="D496:E496" si="289">SUM(D494:D495)</f>
        <v>1204507299.6452932</v>
      </c>
      <c r="E496" s="63">
        <f t="shared" si="289"/>
        <v>484514208.18051368</v>
      </c>
      <c r="F496" s="232">
        <f t="shared" si="253"/>
        <v>0.40225095217205808</v>
      </c>
      <c r="G496" s="14"/>
      <c r="H496" s="186">
        <f>SUM(H494:H495)</f>
        <v>334.93</v>
      </c>
      <c r="I496" s="63">
        <f t="shared" ref="I496:J496" si="290">SUM(I494:I495)</f>
        <v>709202517.83160567</v>
      </c>
      <c r="J496" s="305">
        <f t="shared" si="290"/>
        <v>279474351.12096667</v>
      </c>
      <c r="K496" s="232">
        <f t="shared" si="288"/>
        <v>0.3940684699984745</v>
      </c>
      <c r="L496" s="98">
        <f t="shared" si="285"/>
        <v>-239.58507142857133</v>
      </c>
      <c r="M496" s="98">
        <f t="shared" si="286"/>
        <v>-495304781.81368756</v>
      </c>
      <c r="N496" s="300">
        <f t="shared" si="287"/>
        <v>-205039857.05954701</v>
      </c>
      <c r="O496" s="5"/>
      <c r="P496" s="5"/>
      <c r="Q496" s="5"/>
    </row>
  </sheetData>
  <autoFilter ref="K2:K497" xr:uid="{BE4521FF-7AC0-4C08-A97A-AB55B6E199CC}"/>
  <mergeCells count="41">
    <mergeCell ref="O2:Q2"/>
    <mergeCell ref="C1:F1"/>
    <mergeCell ref="H1:K1"/>
    <mergeCell ref="L1:N1"/>
    <mergeCell ref="O1:Q1"/>
    <mergeCell ref="C2:F2"/>
    <mergeCell ref="C86:G86"/>
    <mergeCell ref="H86:J86"/>
    <mergeCell ref="L380:N380"/>
    <mergeCell ref="L418:N418"/>
    <mergeCell ref="L455:N455"/>
    <mergeCell ref="C418:G418"/>
    <mergeCell ref="H418:J418"/>
    <mergeCell ref="C455:G455"/>
    <mergeCell ref="H455:J455"/>
    <mergeCell ref="C266:G266"/>
    <mergeCell ref="H266:J266"/>
    <mergeCell ref="C306:G306"/>
    <mergeCell ref="H306:J306"/>
    <mergeCell ref="C344:G344"/>
    <mergeCell ref="H344:J344"/>
    <mergeCell ref="L2:N2"/>
    <mergeCell ref="L40:N40"/>
    <mergeCell ref="L86:N86"/>
    <mergeCell ref="L137:N137"/>
    <mergeCell ref="C380:G380"/>
    <mergeCell ref="H380:J380"/>
    <mergeCell ref="C137:G137"/>
    <mergeCell ref="H137:J137"/>
    <mergeCell ref="C179:G179"/>
    <mergeCell ref="H179:J179"/>
    <mergeCell ref="C220:G220"/>
    <mergeCell ref="H220:J220"/>
    <mergeCell ref="H2:J2"/>
    <mergeCell ref="C40:G40"/>
    <mergeCell ref="H40:J40"/>
    <mergeCell ref="L306:N306"/>
    <mergeCell ref="L344:N344"/>
    <mergeCell ref="L179:N179"/>
    <mergeCell ref="L220:N220"/>
    <mergeCell ref="L266:N26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0D85-BC9E-4D0F-B046-BC144C5CC525}">
  <dimension ref="A1:P26"/>
  <sheetViews>
    <sheetView topLeftCell="A2" workbookViewId="0">
      <selection activeCell="C11" sqref="C11:E13"/>
    </sheetView>
  </sheetViews>
  <sheetFormatPr defaultRowHeight="14.4" x14ac:dyDescent="0.3"/>
  <cols>
    <col min="1" max="1" width="19.44140625" customWidth="1"/>
    <col min="2" max="2" width="8.109375" bestFit="1" customWidth="1"/>
    <col min="3" max="5" width="8.5546875" bestFit="1" customWidth="1"/>
    <col min="6" max="6" width="10.33203125" bestFit="1" customWidth="1"/>
    <col min="7" max="10" width="8.5546875" bestFit="1" customWidth="1"/>
    <col min="13" max="13" width="10.33203125" customWidth="1"/>
  </cols>
  <sheetData>
    <row r="1" spans="1:16" ht="15" thickBot="1" x14ac:dyDescent="0.35"/>
    <row r="2" spans="1:16" ht="24" thickBot="1" x14ac:dyDescent="0.35">
      <c r="A2" s="342"/>
      <c r="B2" s="343" t="s">
        <v>228</v>
      </c>
      <c r="C2" s="344"/>
      <c r="D2" s="345"/>
      <c r="E2" s="343" t="s">
        <v>400</v>
      </c>
      <c r="F2" s="344"/>
      <c r="G2" s="345"/>
      <c r="H2" s="343" t="s">
        <v>401</v>
      </c>
      <c r="I2" s="344"/>
      <c r="J2" s="345"/>
      <c r="K2" s="343" t="s">
        <v>394</v>
      </c>
      <c r="L2" s="344"/>
      <c r="M2" s="345"/>
    </row>
    <row r="3" spans="1:16" ht="31.8" thickBot="1" x14ac:dyDescent="0.35">
      <c r="A3" s="346"/>
      <c r="B3" s="347" t="s">
        <v>397</v>
      </c>
      <c r="C3" s="347" t="s">
        <v>398</v>
      </c>
      <c r="D3" s="347" t="s">
        <v>399</v>
      </c>
      <c r="E3" s="347" t="s">
        <v>397</v>
      </c>
      <c r="F3" s="347" t="s">
        <v>398</v>
      </c>
      <c r="G3" s="347" t="s">
        <v>399</v>
      </c>
      <c r="H3" s="347" t="s">
        <v>397</v>
      </c>
      <c r="I3" s="347" t="s">
        <v>398</v>
      </c>
      <c r="J3" s="347" t="s">
        <v>399</v>
      </c>
      <c r="K3" s="347" t="s">
        <v>397</v>
      </c>
      <c r="L3" s="347" t="s">
        <v>398</v>
      </c>
      <c r="M3" s="347" t="s">
        <v>399</v>
      </c>
    </row>
    <row r="4" spans="1:16" ht="31.8" thickBot="1" x14ac:dyDescent="0.35">
      <c r="A4" s="348" t="s">
        <v>402</v>
      </c>
      <c r="B4" s="349">
        <v>33</v>
      </c>
      <c r="C4" s="349">
        <v>64</v>
      </c>
      <c r="D4" s="349">
        <v>26</v>
      </c>
      <c r="E4" s="349">
        <v>46.8</v>
      </c>
      <c r="F4" s="349">
        <v>121</v>
      </c>
      <c r="G4" s="349">
        <v>44</v>
      </c>
      <c r="H4" s="349">
        <v>37.799999999999997</v>
      </c>
      <c r="I4" s="349">
        <v>96</v>
      </c>
      <c r="J4" s="349">
        <v>35</v>
      </c>
      <c r="K4" s="349">
        <f>+E4-B4</f>
        <v>13.799999999999997</v>
      </c>
      <c r="L4" s="349">
        <f t="shared" ref="L4:M4" si="0">+F4-C4</f>
        <v>57</v>
      </c>
      <c r="M4" s="349">
        <f t="shared" si="0"/>
        <v>18</v>
      </c>
    </row>
    <row r="5" spans="1:16" ht="16.2" thickBot="1" x14ac:dyDescent="0.35">
      <c r="A5" s="350" t="s">
        <v>403</v>
      </c>
      <c r="B5" s="351">
        <v>16</v>
      </c>
      <c r="C5" s="351">
        <v>32</v>
      </c>
      <c r="D5" s="351">
        <v>13</v>
      </c>
      <c r="E5" s="351">
        <v>15.1</v>
      </c>
      <c r="F5" s="351">
        <v>30.4</v>
      </c>
      <c r="G5" s="351">
        <v>10.5</v>
      </c>
      <c r="H5" s="351">
        <v>12.6</v>
      </c>
      <c r="I5" s="351">
        <v>26</v>
      </c>
      <c r="J5" s="351">
        <v>9.5</v>
      </c>
      <c r="K5" s="351">
        <f t="shared" ref="K5:K6" si="1">+E5-B5</f>
        <v>-0.90000000000000036</v>
      </c>
      <c r="L5" s="351">
        <f t="shared" ref="L5:L6" si="2">+F5-C5</f>
        <v>-1.6000000000000014</v>
      </c>
      <c r="M5" s="351">
        <f t="shared" ref="M5:M6" si="3">+G5-D5</f>
        <v>-2.5</v>
      </c>
      <c r="N5" s="341"/>
      <c r="O5" s="341"/>
      <c r="P5" s="341"/>
    </row>
    <row r="6" spans="1:16" ht="16.2" thickBot="1" x14ac:dyDescent="0.35">
      <c r="A6" s="352" t="s">
        <v>393</v>
      </c>
      <c r="B6" s="353">
        <v>49</v>
      </c>
      <c r="C6" s="353">
        <v>96</v>
      </c>
      <c r="D6" s="353">
        <v>39</v>
      </c>
      <c r="E6" s="353">
        <v>61.9</v>
      </c>
      <c r="F6" s="353">
        <v>151.4</v>
      </c>
      <c r="G6" s="353">
        <v>54.5</v>
      </c>
      <c r="H6" s="353">
        <v>50.4</v>
      </c>
      <c r="I6" s="353">
        <v>122</v>
      </c>
      <c r="J6" s="353">
        <v>44.5</v>
      </c>
      <c r="K6" s="354">
        <f t="shared" si="1"/>
        <v>12.899999999999999</v>
      </c>
      <c r="L6" s="354">
        <f t="shared" si="2"/>
        <v>55.400000000000006</v>
      </c>
      <c r="M6" s="354">
        <f t="shared" si="3"/>
        <v>15.5</v>
      </c>
      <c r="N6" s="341"/>
      <c r="O6" s="341"/>
      <c r="P6" s="341"/>
    </row>
    <row r="8" spans="1:16" x14ac:dyDescent="0.3">
      <c r="A8" t="s">
        <v>404</v>
      </c>
    </row>
    <row r="9" spans="1:16" x14ac:dyDescent="0.3">
      <c r="A9" t="s">
        <v>405</v>
      </c>
    </row>
    <row r="11" spans="1:16" x14ac:dyDescent="0.3">
      <c r="A11" t="s">
        <v>406</v>
      </c>
      <c r="B11" s="355" t="b">
        <v>1</v>
      </c>
      <c r="C11" s="356" t="s">
        <v>418</v>
      </c>
      <c r="D11" s="356"/>
      <c r="E11" s="356"/>
    </row>
    <row r="12" spans="1:16" x14ac:dyDescent="0.3">
      <c r="A12" t="s">
        <v>407</v>
      </c>
      <c r="B12" s="355" t="b">
        <v>1</v>
      </c>
      <c r="C12" s="356"/>
      <c r="D12" s="356"/>
      <c r="E12" s="356"/>
    </row>
    <row r="13" spans="1:16" x14ac:dyDescent="0.3">
      <c r="A13" t="s">
        <v>408</v>
      </c>
      <c r="B13" s="355" t="b">
        <v>1</v>
      </c>
      <c r="C13" s="356"/>
      <c r="D13" s="356"/>
      <c r="E13" s="356"/>
    </row>
    <row r="14" spans="1:16" x14ac:dyDescent="0.3">
      <c r="A14" t="s">
        <v>409</v>
      </c>
      <c r="B14" s="355" t="b">
        <v>0</v>
      </c>
    </row>
    <row r="15" spans="1:16" x14ac:dyDescent="0.3">
      <c r="A15" t="s">
        <v>410</v>
      </c>
      <c r="B15" s="355" t="b">
        <v>0</v>
      </c>
    </row>
    <row r="16" spans="1:16" x14ac:dyDescent="0.3">
      <c r="A16" t="s">
        <v>411</v>
      </c>
      <c r="B16" s="355" t="b">
        <v>0</v>
      </c>
    </row>
    <row r="17" spans="1:2" x14ac:dyDescent="0.3">
      <c r="A17" t="s">
        <v>412</v>
      </c>
      <c r="B17" s="355" t="b">
        <v>0</v>
      </c>
    </row>
    <row r="18" spans="1:2" x14ac:dyDescent="0.3">
      <c r="A18" t="s">
        <v>413</v>
      </c>
      <c r="B18" s="355" t="b">
        <v>0</v>
      </c>
    </row>
    <row r="19" spans="1:2" x14ac:dyDescent="0.3">
      <c r="A19" t="s">
        <v>414</v>
      </c>
      <c r="B19" s="355" t="b">
        <v>0</v>
      </c>
    </row>
    <row r="20" spans="1:2" x14ac:dyDescent="0.3">
      <c r="A20" t="s">
        <v>415</v>
      </c>
      <c r="B20" s="355" t="b">
        <v>0</v>
      </c>
    </row>
    <row r="21" spans="1:2" x14ac:dyDescent="0.3">
      <c r="A21" t="s">
        <v>416</v>
      </c>
      <c r="B21" s="355" t="b">
        <v>0</v>
      </c>
    </row>
    <row r="22" spans="1:2" x14ac:dyDescent="0.3">
      <c r="A22" t="s">
        <v>417</v>
      </c>
      <c r="B22" s="355" t="b">
        <v>0</v>
      </c>
    </row>
    <row r="23" spans="1:2" x14ac:dyDescent="0.3">
      <c r="A23" t="s">
        <v>406</v>
      </c>
      <c r="B23" s="355" t="b">
        <v>0</v>
      </c>
    </row>
    <row r="24" spans="1:2" x14ac:dyDescent="0.3">
      <c r="A24" t="s">
        <v>407</v>
      </c>
      <c r="B24" s="355" t="b">
        <v>0</v>
      </c>
    </row>
    <row r="25" spans="1:2" x14ac:dyDescent="0.3">
      <c r="A25" t="s">
        <v>408</v>
      </c>
      <c r="B25" s="355" t="b">
        <v>0</v>
      </c>
    </row>
    <row r="26" spans="1:2" x14ac:dyDescent="0.3">
      <c r="A26" t="s">
        <v>409</v>
      </c>
      <c r="B26" s="355" t="b">
        <v>0</v>
      </c>
    </row>
  </sheetData>
  <mergeCells count="6">
    <mergeCell ref="N5:P6"/>
    <mergeCell ref="B2:D2"/>
    <mergeCell ref="E2:G2"/>
    <mergeCell ref="H2:J2"/>
    <mergeCell ref="K2:M2"/>
    <mergeCell ref="C11:E13"/>
  </mergeCells>
  <phoneticPr fontId="20" type="noConversion"/>
  <pageMargins left="0.7" right="0.7" top="0.75" bottom="0.75" header="0.3" footer="0.3"/>
</worksheet>
</file>

<file path=docMetadata/LabelInfo.xml><?xml version="1.0" encoding="utf-8"?>
<clbl:labelList xmlns:clbl="http://schemas.microsoft.com/office/2020/mipLabelMetadata">
  <clbl:label id="{8f4ba6ac-c9c0-4c5e-a531-736e3faaed7d}" enabled="1" method="Privileged" siteId="{2081ade3-b577-421e-9935-31961e4ff17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Prospect pipeline (2)</vt:lpstr>
      <vt:lpstr>Sales SO wise Bud Vs Actu </vt:lpstr>
      <vt:lpstr>PPT output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Manura Mohotti</dc:creator>
  <cp:keywords/>
  <dc:description/>
  <cp:lastModifiedBy>Manura Mohotti</cp:lastModifiedBy>
  <cp:revision/>
  <dcterms:created xsi:type="dcterms:W3CDTF">2026-04-25T12:21:58Z</dcterms:created>
  <dcterms:modified xsi:type="dcterms:W3CDTF">2026-09-14T19:41:14Z</dcterms:modified>
  <cp:category/>
  <cp:contentStatus/>
</cp:coreProperties>
</file>